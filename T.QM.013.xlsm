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guanm\Downloads\"/>
    </mc:Choice>
  </mc:AlternateContent>
  <xr:revisionPtr revIDLastSave="0" documentId="13_ncr:1_{6F9F07C3-F34A-405C-8118-6F248543FF5B}" xr6:coauthVersionLast="47" xr6:coauthVersionMax="47" xr10:uidLastSave="{00000000-0000-0000-0000-000000000000}"/>
  <bookViews>
    <workbookView xWindow="-28920" yWindow="-3930" windowWidth="29040" windowHeight="16440" xr2:uid="{00000000-000D-0000-FFFF-FFFF00000000}"/>
  </bookViews>
  <sheets>
    <sheet name="T.QM.013" sheetId="11" r:id="rId1"/>
    <sheet name="T.QM.013 Description" sheetId="13" state="hidden" r:id="rId2"/>
    <sheet name="Parameter" sheetId="3" state="hidden" r:id="rId3"/>
  </sheets>
  <definedNames>
    <definedName name="_xlnm._FilterDatabase" localSheetId="2" hidden="1">Parameter!$A$7:$R$600</definedName>
    <definedName name="DmbA">Parameter!$C$5:$D$5</definedName>
    <definedName name="_xlnm.Print_Area" localSheetId="0">'T.QM.013'!$B$2:$P$89</definedName>
    <definedName name="_xlnm.Print_Area" localSheetId="1">'T.QM.013 Description'!$B$2:$P$89</definedName>
    <definedName name="_xlnm.Print_Titles" localSheetId="0">'T.QM.013'!$2:$11</definedName>
    <definedName name="_xlnm.Print_Titles" localSheetId="1">'T.QM.013 Description'!$2:$11</definedName>
    <definedName name="Productgroup">Parameter!$C$3:$E$3</definedName>
    <definedName name="Sprache">Parameter!$C$7:$T$7</definedName>
    <definedName name="SRM_LAST_CHANGED_AT" localSheetId="1">'T.QM.013 Description'!$E$8</definedName>
    <definedName name="SRM_LAST_CHANGED_AT">'T.QM.013'!$E$8</definedName>
    <definedName name="SRM_LAST_CHANGED_BY" localSheetId="1">'T.QM.013 Description'!#REF!</definedName>
    <definedName name="SRM_LAST_CHANGED_BY">'T.QM.013'!#REF!</definedName>
    <definedName name="SRM_LOG_VERSION" localSheetId="1">'T.QM.013 Description'!$E$6</definedName>
    <definedName name="SRM_LOG_VERSION">'T.QM.013'!$E$6</definedName>
    <definedName name="Translations">Parameter!$C$7:$T$600</definedName>
    <definedName name="ZIPM_BASELINE" localSheetId="1">'T.QM.013 Description'!$F$6</definedName>
    <definedName name="ZIPM_BASELINE">'T.QM.013'!$F$6</definedName>
    <definedName name="ZIPM_BATMAT" localSheetId="1">'T.QM.013 Description'!$K$8</definedName>
    <definedName name="ZIPM_BATMAT">'T.QM.013'!$K$8</definedName>
    <definedName name="ZIPM_CUSTGRP" localSheetId="1">'T.QM.013 Description'!$H$8</definedName>
    <definedName name="ZIPM_CUSTGRP">'T.QM.013'!$H$8</definedName>
    <definedName name="ZIPM_DISNO" localSheetId="1">'T.QM.013 Description'!$K$6</definedName>
    <definedName name="ZIPM_DISNO">'T.QM.013'!$K$6</definedName>
    <definedName name="ZIPM_DWSR" localSheetId="1">'T.QM.013 Description'!$P$6</definedName>
    <definedName name="ZIPM_DWSR">'T.QM.013'!$P$6</definedName>
    <definedName name="ZIPM_ENGINE" localSheetId="1">'T.QM.013 Description'!$H$8</definedName>
    <definedName name="ZIPM_ENGINE">'T.QM.013'!$H$8</definedName>
    <definedName name="ZIPM_GPIN" localSheetId="1">'T.QM.013 Description'!$K$3</definedName>
    <definedName name="ZIPM_GPIN">'T.QM.013'!$K$3</definedName>
    <definedName name="ZIPM_OEMPARTNO" localSheetId="1">'T.QM.013 Description'!#REF!</definedName>
    <definedName name="ZIPM_OEMPARTNO">'T.QM.013'!#REF!</definedName>
    <definedName name="ZIPM_PARTNAME" localSheetId="1">'T.QM.013 Description'!$H$6</definedName>
    <definedName name="ZIPM_PARTNAME">'T.QM.013'!$H$6</definedName>
    <definedName name="ZIPM_PRODGRP" localSheetId="1">'T.QM.013 Description'!$O$8</definedName>
    <definedName name="ZIPM_PRODGRP">'T.QM.013'!$O$8</definedName>
    <definedName name="ZIPM_PROJECT" localSheetId="1">'T.QM.013 Description'!$H$3</definedName>
    <definedName name="ZIPM_PROJECT">'T.QM.013'!$H$3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3" l="1"/>
  <c r="D3" i="3"/>
  <c r="C3" i="3"/>
  <c r="R8" i="11"/>
  <c r="R6" i="11"/>
  <c r="R3" i="11"/>
  <c r="B48" i="11"/>
  <c r="O48" i="11"/>
  <c r="M48" i="11"/>
  <c r="F48" i="11"/>
  <c r="E48" i="11"/>
  <c r="D48" i="11"/>
  <c r="K47" i="11"/>
  <c r="G47" i="11"/>
  <c r="B47" i="11"/>
  <c r="K46" i="11"/>
  <c r="G46" i="11"/>
  <c r="B46" i="11"/>
  <c r="O18" i="11"/>
  <c r="M18" i="11"/>
  <c r="F18" i="11"/>
  <c r="E18" i="11"/>
  <c r="D18" i="11"/>
  <c r="B18" i="11"/>
  <c r="O15" i="11"/>
  <c r="N15" i="11"/>
  <c r="K15" i="11"/>
  <c r="J15" i="11"/>
  <c r="I15" i="11"/>
  <c r="H15" i="11"/>
  <c r="D15" i="11"/>
  <c r="B15" i="11"/>
  <c r="J10" i="11"/>
  <c r="J12" i="11"/>
  <c r="G13" i="11"/>
  <c r="G12" i="11"/>
  <c r="B13" i="11"/>
  <c r="B12" i="11"/>
  <c r="B10" i="11"/>
  <c r="N8" i="11"/>
  <c r="J8" i="11"/>
  <c r="G8" i="11"/>
  <c r="C8" i="11"/>
  <c r="N6" i="11"/>
  <c r="J6" i="11"/>
  <c r="G6" i="11"/>
  <c r="C6" i="11"/>
  <c r="M3" i="11"/>
  <c r="G3" i="11"/>
  <c r="C3" i="11"/>
  <c r="G3" i="3"/>
  <c r="O48" i="13"/>
  <c r="M48" i="13"/>
  <c r="F48" i="13"/>
  <c r="E48" i="13"/>
  <c r="D48" i="13"/>
  <c r="B48" i="13"/>
  <c r="K47" i="13"/>
  <c r="G47" i="13"/>
  <c r="B47" i="13"/>
  <c r="K46" i="13"/>
  <c r="G46" i="13"/>
  <c r="B46" i="13"/>
  <c r="O18" i="13"/>
  <c r="M18" i="13"/>
  <c r="F18" i="13"/>
  <c r="E18" i="13"/>
  <c r="D18" i="13"/>
  <c r="B18" i="13"/>
  <c r="O15" i="13"/>
  <c r="N15" i="13"/>
  <c r="K15" i="13"/>
  <c r="J15" i="13"/>
  <c r="I15" i="13"/>
  <c r="H15" i="13"/>
  <c r="D15" i="13"/>
  <c r="B15" i="13"/>
  <c r="G13" i="13"/>
  <c r="B13" i="13"/>
  <c r="J12" i="13"/>
  <c r="G12" i="13"/>
  <c r="B12" i="13"/>
  <c r="J10" i="13"/>
  <c r="B10" i="13"/>
  <c r="R8" i="13"/>
  <c r="N8" i="13"/>
  <c r="J8" i="13"/>
  <c r="G8" i="13"/>
  <c r="C8" i="13"/>
  <c r="R6" i="13"/>
  <c r="N6" i="13"/>
  <c r="J6" i="13"/>
  <c r="G6" i="13"/>
  <c r="C6" i="13"/>
  <c r="R3" i="13"/>
  <c r="M3" i="13"/>
  <c r="G3" i="13"/>
  <c r="C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Bernhard Rulla</author>
  </authors>
  <commentList>
    <comment ref="O6" authorId="0" shapeId="0" xr:uid="{AB21D5BF-FDCB-475A-B262-C8695E6395C3}">
      <text>
        <r>
          <rPr>
            <sz val="9"/>
            <color indexed="81"/>
            <rFont val="Segoe UI"/>
            <family val="2"/>
          </rPr>
          <t>The identification of documents and records relevant to quality (DmbA parts) 
is done by putting an ''A'' to this field. 
Varying customer requirements must be applied accordingly.
If no critical characteristics exist please add: --
Die Kennzeichnung der qualitätsrelevanten Dokumente und Aufzeichnungen 
(DmbA-Teile) erfolgt in diesem Feld mit einem ''A''. 
Bei anderslautenden Kundenvorschriften sind diese  entsprechend zu verwenden.
Wenn keine kritischen Merkmale vorhanden sind bitte -- eintragen</t>
        </r>
      </text>
    </comment>
    <comment ref="G13" authorId="0" shapeId="0" xr:uid="{EE567B3F-CDAF-480D-80BB-E1BE24504F5B}">
      <text>
        <r>
          <rPr>
            <sz val="9"/>
            <color indexed="81"/>
            <rFont val="Segoe UI"/>
            <family val="2"/>
          </rPr>
          <t>Date the 'Control Plan‘ was created/changed
Datum der Ersterstellung/Änderung des 'Control Plans‘</t>
        </r>
      </text>
    </comment>
    <comment ref="D18" authorId="0" shapeId="0" xr:uid="{7B33C602-0912-4D91-9972-29ACA69AAAF9}">
      <text>
        <r>
          <rPr>
            <b/>
            <sz val="9"/>
            <color indexed="81"/>
            <rFont val="Segoe UI"/>
            <family val="2"/>
          </rPr>
          <t xml:space="preserve">"R"-identification: </t>
        </r>
        <r>
          <rPr>
            <sz val="9"/>
            <color indexed="81"/>
            <rFont val="Segoe UI"/>
            <family val="2"/>
          </rPr>
          <t xml:space="preserve">
a characteristic that was subject to a customer complaint must be marked with "R". 
(should be removed after the period of 6 month)
</t>
        </r>
        <r>
          <rPr>
            <b/>
            <sz val="9"/>
            <color indexed="81"/>
            <rFont val="Segoe UI"/>
            <family val="2"/>
          </rPr>
          <t xml:space="preserve">"R"-Kennzeichnung: </t>
        </r>
        <r>
          <rPr>
            <sz val="9"/>
            <color indexed="81"/>
            <rFont val="Segoe UI"/>
            <family val="2"/>
          </rPr>
          <t xml:space="preserve">
Ein vom Kunden reklamiertes Merkmal muss mit "R" gekennzeichnet werden.
(sollte nach 6 Monaten wieder entfernt  werden)</t>
        </r>
      </text>
    </comment>
    <comment ref="E18" authorId="0" shapeId="0" xr:uid="{36FC34C0-C83C-483C-89DC-69881D0E80D5}">
      <text>
        <r>
          <rPr>
            <sz val="9"/>
            <color indexed="81"/>
            <rFont val="Segoe UI"/>
            <family val="2"/>
          </rPr>
          <t>"D" - Marking:
If customer specifications are not available special characteristics are identified as follows:
"CC":   'critical' characteristic (customer definition)
"SC":   'special' characteristic (customer definition)
"BCC": 'critical' characteristic (Benteler definition)
"BSC": 'special' characteristic (Benteler definition)
This field remains empty if the characteristics are not special.
"D"-Kennzeichnung:
Im Falle nichtexistierender Kundenvorgaben werden die besonderen Merkmale wie folgt gekennzeichnet:
"CC":   'kritisches' Merkmal (Kundenvorgabe)
"SC":   'wichtiges' Merkmal  (Kundenvorgabe)
"BCC": ‘kritisches’ Merkmal (Benteler Festlegung)
"BSC": 'wichtiges' Merkmal  (Benteler Festlegung)
Für nicht besonders hervorgehobene Merkmale bleibt dieses Feld leer.</t>
        </r>
      </text>
    </comment>
  </commentList>
</comments>
</file>

<file path=xl/sharedStrings.xml><?xml version="1.0" encoding="utf-8"?>
<sst xmlns="http://schemas.openxmlformats.org/spreadsheetml/2006/main" count="510" uniqueCount="370">
  <si>
    <t xml:space="preserve">Kunde: </t>
  </si>
  <si>
    <t xml:space="preserve">Produktgruppe: </t>
  </si>
  <si>
    <t xml:space="preserve">von: </t>
  </si>
  <si>
    <t>A</t>
  </si>
  <si>
    <t xml:space="preserve">Productgroup: </t>
  </si>
  <si>
    <t xml:space="preserve">by: </t>
  </si>
  <si>
    <t xml:space="preserve">last change: </t>
  </si>
  <si>
    <t>DmbA</t>
  </si>
  <si>
    <t xml:space="preserve">DmbA: </t>
  </si>
  <si>
    <t xml:space="preserve">Status Doc.: </t>
  </si>
  <si>
    <t xml:space="preserve">Project: </t>
  </si>
  <si>
    <t>Sprache</t>
  </si>
  <si>
    <t>deutsch</t>
  </si>
  <si>
    <t>english</t>
  </si>
  <si>
    <t xml:space="preserve">Projekt: </t>
  </si>
  <si>
    <t xml:space="preserve">DIS: </t>
  </si>
  <si>
    <t xml:space="preserve">DIR: </t>
  </si>
  <si>
    <t xml:space="preserve">Status Dok.: </t>
  </si>
  <si>
    <t xml:space="preserve">Vers./BL.: </t>
  </si>
  <si>
    <t xml:space="preserve">letzte Änd.: </t>
  </si>
  <si>
    <t xml:space="preserve">language: </t>
  </si>
  <si>
    <t xml:space="preserve">Sprache: </t>
  </si>
  <si>
    <t xml:space="preserve">BAT-Material: </t>
  </si>
  <si>
    <t>Name/Abt.</t>
  </si>
  <si>
    <t>Pos-Nr.</t>
  </si>
  <si>
    <t>Änderung</t>
  </si>
  <si>
    <t>Datum</t>
  </si>
  <si>
    <t>Pos.</t>
  </si>
  <si>
    <t>R</t>
  </si>
  <si>
    <t>D</t>
  </si>
  <si>
    <t>Beschreibung</t>
  </si>
  <si>
    <t>Verantwortlich</t>
  </si>
  <si>
    <t>Working and Test Instruction</t>
  </si>
  <si>
    <t>Name/Dept.</t>
  </si>
  <si>
    <t>Item No.</t>
  </si>
  <si>
    <t>Modification</t>
  </si>
  <si>
    <t>Date</t>
  </si>
  <si>
    <t>Item</t>
  </si>
  <si>
    <t>C</t>
  </si>
  <si>
    <t>Description</t>
  </si>
  <si>
    <t>Responsible</t>
  </si>
  <si>
    <t>Arbeits- und Prüfanweisung</t>
  </si>
  <si>
    <t>--</t>
  </si>
  <si>
    <t xml:space="preserve">Teil: </t>
  </si>
  <si>
    <t xml:space="preserve">Ausgabe vom: </t>
  </si>
  <si>
    <t xml:space="preserve">Name/Abt.: </t>
  </si>
  <si>
    <t xml:space="preserve">Position Nr.: </t>
  </si>
  <si>
    <t xml:space="preserve">Plan vom: </t>
  </si>
  <si>
    <t xml:space="preserve">Arbeitsplatz: </t>
  </si>
  <si>
    <t xml:space="preserve">Produktion: </t>
  </si>
  <si>
    <t xml:space="preserve">Datum: </t>
  </si>
  <si>
    <t xml:space="preserve">QM: </t>
  </si>
  <si>
    <t xml:space="preserve">Ersetzt: </t>
  </si>
  <si>
    <t xml:space="preserve">Verteiler: </t>
  </si>
  <si>
    <t xml:space="preserve">issue dated: </t>
  </si>
  <si>
    <t xml:space="preserve">Name/Dept.: </t>
  </si>
  <si>
    <t xml:space="preserve">Customer: </t>
  </si>
  <si>
    <t xml:space="preserve">Schedule date: </t>
  </si>
  <si>
    <t xml:space="preserve">Work station: </t>
  </si>
  <si>
    <t xml:space="preserve">Production: </t>
  </si>
  <si>
    <t xml:space="preserve">Date: </t>
  </si>
  <si>
    <t xml:space="preserve">Replaces: </t>
  </si>
  <si>
    <t xml:space="preserve">Distribution: </t>
  </si>
  <si>
    <t xml:space="preserve">Einzelteilbezeichnung: </t>
  </si>
  <si>
    <t xml:space="preserve">Single Part description: </t>
  </si>
  <si>
    <t xml:space="preserve">Einzelteilnummer: </t>
  </si>
  <si>
    <t xml:space="preserve">Single Part No.: </t>
  </si>
  <si>
    <t>Arbeidsinstruks</t>
  </si>
  <si>
    <t>Delenavn:</t>
  </si>
  <si>
    <t>Prosjekt:</t>
  </si>
  <si>
    <t>Siste endring:</t>
  </si>
  <si>
    <t>av:</t>
  </si>
  <si>
    <t>Språk:</t>
  </si>
  <si>
    <t>Navn/Avd:</t>
  </si>
  <si>
    <t>Kunde:</t>
  </si>
  <si>
    <t>Dato:</t>
  </si>
  <si>
    <t>Arbeidsplass:</t>
  </si>
  <si>
    <t>Beskrivelse:</t>
  </si>
  <si>
    <t>Ansvarlig:</t>
  </si>
  <si>
    <t>Produksjon:</t>
  </si>
  <si>
    <t>QM:</t>
  </si>
  <si>
    <t>Erstatter:</t>
  </si>
  <si>
    <t>Utgave fra (dato):</t>
  </si>
  <si>
    <t>Versjon/ blankett:</t>
  </si>
  <si>
    <t>Tegningsnummer</t>
  </si>
  <si>
    <t>Produkt/ beskrivelse</t>
  </si>
  <si>
    <t>Document no</t>
  </si>
  <si>
    <t xml:space="preserve">Dokument nr.: </t>
  </si>
  <si>
    <t>Planlagt utført :</t>
  </si>
  <si>
    <t>Punkt-Nr.</t>
  </si>
  <si>
    <t>Punkt</t>
  </si>
  <si>
    <t>Endring av punkt:</t>
  </si>
  <si>
    <t xml:space="preserve">R </t>
  </si>
  <si>
    <r>
      <t xml:space="preserve">D </t>
    </r>
    <r>
      <rPr>
        <sz val="10"/>
        <color theme="4"/>
        <rFont val="Arial"/>
        <family val="2"/>
      </rPr>
      <t>(class)</t>
    </r>
  </si>
  <si>
    <t>OEM (kunde):</t>
  </si>
  <si>
    <t xml:space="preserve">Modell / Variant: </t>
  </si>
  <si>
    <t>SAP (nummer):</t>
  </si>
  <si>
    <t>DIR (drawing):</t>
  </si>
  <si>
    <t>Delenr. (OEM):</t>
  </si>
  <si>
    <t>česky</t>
  </si>
  <si>
    <t>Pracovní a zkušební návod</t>
  </si>
  <si>
    <t>Díl:</t>
  </si>
  <si>
    <t>Projekt:</t>
  </si>
  <si>
    <t>DIS (SAP č.):</t>
  </si>
  <si>
    <t>BAT materiál:</t>
  </si>
  <si>
    <t>Produktgruppe:</t>
  </si>
  <si>
    <t>DmbA:</t>
  </si>
  <si>
    <t>Status dok.:</t>
  </si>
  <si>
    <t>Vers./B.:</t>
  </si>
  <si>
    <t>Posl. změna:</t>
  </si>
  <si>
    <t>Kým:</t>
  </si>
  <si>
    <t>Jazyk:</t>
  </si>
  <si>
    <t>Vydání z:</t>
  </si>
  <si>
    <t>Jméno/Odd.:</t>
  </si>
  <si>
    <t>Zákazník:</t>
  </si>
  <si>
    <t>Č. pozice:</t>
  </si>
  <si>
    <t>Plán z:</t>
  </si>
  <si>
    <t>Pracoviště:</t>
  </si>
  <si>
    <t>Poz. č.</t>
  </si>
  <si>
    <t>Změna</t>
  </si>
  <si>
    <t>Jméno/Odd.</t>
  </si>
  <si>
    <t xml:space="preserve">Poz.  </t>
  </si>
  <si>
    <t>Popis</t>
  </si>
  <si>
    <t>Zkouška / zk. prostředek</t>
  </si>
  <si>
    <t>Zodpovědný</t>
  </si>
  <si>
    <t>Výroba</t>
  </si>
  <si>
    <t>Nahrazuje:</t>
  </si>
  <si>
    <t>Rozdělovník:</t>
  </si>
  <si>
    <t xml:space="preserve">ST </t>
  </si>
  <si>
    <t>CH / MO</t>
  </si>
  <si>
    <t>EES</t>
  </si>
  <si>
    <t>Označení dílu:</t>
  </si>
  <si>
    <t>Číslo dílu:</t>
  </si>
  <si>
    <t>slovensky</t>
  </si>
  <si>
    <t>Diel:</t>
  </si>
  <si>
    <t>Model / Varianta:</t>
  </si>
  <si>
    <t>Č. dielu OEM:</t>
  </si>
  <si>
    <t>DIS (SAP č.)</t>
  </si>
  <si>
    <t>Posl. Zmena:</t>
  </si>
  <si>
    <t>Vydanie z:</t>
  </si>
  <si>
    <t>Meno/Odd.:</t>
  </si>
  <si>
    <t>Pracovisko:</t>
  </si>
  <si>
    <t>Zmena:</t>
  </si>
  <si>
    <t>Dátum:</t>
  </si>
  <si>
    <t>Zodpovedný</t>
  </si>
  <si>
    <t>Nahradzuje:</t>
  </si>
  <si>
    <t>Rozdelovník:</t>
  </si>
  <si>
    <t>ST</t>
  </si>
  <si>
    <t>Číslo dielu:</t>
  </si>
  <si>
    <t>Označenie dielu:</t>
  </si>
  <si>
    <t>Pracovný a skušobný návod</t>
  </si>
  <si>
    <t>Výroba:</t>
  </si>
  <si>
    <t>Datum:</t>
  </si>
  <si>
    <t>Č. dílu zákazníka:</t>
  </si>
  <si>
    <t>Dokument č.:</t>
  </si>
  <si>
    <t>русский</t>
  </si>
  <si>
    <t>magyar</t>
  </si>
  <si>
    <t>svenska</t>
  </si>
  <si>
    <t>danske</t>
  </si>
  <si>
    <t>français</t>
  </si>
  <si>
    <t>italiano</t>
  </si>
  <si>
    <t>Skúška / sk. prostredok</t>
  </si>
  <si>
    <t>Test-omfang / Utstyr:</t>
  </si>
  <si>
    <t>Test level / equipment</t>
  </si>
  <si>
    <t>Prüfschärfe / -mittel</t>
  </si>
  <si>
    <t xml:space="preserve">Model / Variant: </t>
  </si>
  <si>
    <t xml:space="preserve">Modell / Variante: </t>
  </si>
  <si>
    <t>china</t>
  </si>
  <si>
    <t>japan</t>
  </si>
  <si>
    <t>Pages</t>
  </si>
  <si>
    <t>Guidelines</t>
  </si>
  <si>
    <t>ON</t>
  </si>
  <si>
    <t>OFF</t>
  </si>
  <si>
    <t>Mřížka</t>
  </si>
  <si>
    <t>Stránky</t>
  </si>
  <si>
    <t>Zapnuto</t>
  </si>
  <si>
    <t>Vypnuto</t>
  </si>
  <si>
    <t xml:space="preserve">Teilenr. OEM: </t>
  </si>
  <si>
    <t xml:space="preserve">Part No. OEM: </t>
  </si>
  <si>
    <t>D (class)</t>
  </si>
  <si>
    <t>Seiten</t>
  </si>
  <si>
    <t>OEM:</t>
  </si>
  <si>
    <t>Sub-Project:</t>
  </si>
  <si>
    <t>Product Group</t>
  </si>
  <si>
    <t>Nome da peça:</t>
  </si>
  <si>
    <t>Instrução de Trabalho:</t>
  </si>
  <si>
    <t>Modelo:</t>
  </si>
  <si>
    <t>N° peça OEM:</t>
  </si>
  <si>
    <t>Projeto</t>
  </si>
  <si>
    <t>Desenho:</t>
  </si>
  <si>
    <t>N° SAP</t>
  </si>
  <si>
    <t xml:space="preserve">Grupo Produto </t>
  </si>
  <si>
    <t>Status doc:</t>
  </si>
  <si>
    <t>Última revisão</t>
  </si>
  <si>
    <t>Responsável:</t>
  </si>
  <si>
    <t>Idioma</t>
  </si>
  <si>
    <t>Nome/Depto:</t>
  </si>
  <si>
    <t>Cliente:</t>
  </si>
  <si>
    <t>Data:</t>
  </si>
  <si>
    <t>N° documento:</t>
  </si>
  <si>
    <t>Estação de trabalho:</t>
  </si>
  <si>
    <t>N° Item:</t>
  </si>
  <si>
    <t>Modificação:</t>
  </si>
  <si>
    <t>Item:</t>
  </si>
  <si>
    <t>Class.</t>
  </si>
  <si>
    <t xml:space="preserve">Descrição </t>
  </si>
  <si>
    <t>Produção:</t>
  </si>
  <si>
    <t>Distribuição:</t>
  </si>
  <si>
    <t>Frequência / Equipamento</t>
  </si>
  <si>
    <t>Descrição da peça:</t>
  </si>
  <si>
    <t>N° peça:</t>
  </si>
  <si>
    <t>Data revisão:</t>
  </si>
  <si>
    <t>Data liberação:</t>
  </si>
  <si>
    <t>Substitui:</t>
  </si>
  <si>
    <t>Рабочая Инструкция / Инструкция по контролю</t>
  </si>
  <si>
    <t xml:space="preserve">Название детали: </t>
  </si>
  <si>
    <t>Модель/Вариант:</t>
  </si>
  <si>
    <t>№ детали OEM:</t>
  </si>
  <si>
    <t>Проект:</t>
  </si>
  <si>
    <t>BAT-материал:</t>
  </si>
  <si>
    <t>Группа изделия:</t>
  </si>
  <si>
    <t>Статус:</t>
  </si>
  <si>
    <t>Редакция:</t>
  </si>
  <si>
    <t>Изменено:</t>
  </si>
  <si>
    <t>ФИО:</t>
  </si>
  <si>
    <t>Язык:</t>
  </si>
  <si>
    <t>Дата выпуска:</t>
  </si>
  <si>
    <t>ФИО/Отдел:</t>
  </si>
  <si>
    <t xml:space="preserve">Клиент: </t>
  </si>
  <si>
    <t>№ документа:</t>
  </si>
  <si>
    <t>Периодичность:</t>
  </si>
  <si>
    <t>Рабочее место:</t>
  </si>
  <si>
    <t>№ п/п</t>
  </si>
  <si>
    <t>Изменение</t>
  </si>
  <si>
    <t>Дата</t>
  </si>
  <si>
    <t>ФИО/Отдел</t>
  </si>
  <si>
    <t>Описание:</t>
  </si>
  <si>
    <t>Метод контроля/оборудование</t>
  </si>
  <si>
    <t>Ответственный</t>
  </si>
  <si>
    <t>Произв-во:</t>
  </si>
  <si>
    <t>Дата:</t>
  </si>
  <si>
    <t>Заменяет:</t>
  </si>
  <si>
    <t>Рассылка:</t>
  </si>
  <si>
    <t>Название детали:</t>
  </si>
  <si>
    <t>№ детали:</t>
  </si>
  <si>
    <t>Instrucción de trabajo y prueba</t>
  </si>
  <si>
    <t xml:space="preserve">Nombre de la empresa: </t>
  </si>
  <si>
    <t xml:space="preserve">Modelo / Variante: </t>
  </si>
  <si>
    <t xml:space="preserve">Nº de pieza OEM: </t>
  </si>
  <si>
    <t xml:space="preserve">Proyecto: </t>
  </si>
  <si>
    <t xml:space="preserve">último cambio: </t>
  </si>
  <si>
    <t xml:space="preserve">por: </t>
  </si>
  <si>
    <t xml:space="preserve">idioma: </t>
  </si>
  <si>
    <t xml:space="preserve">fecha de emisión: </t>
  </si>
  <si>
    <t xml:space="preserve">Nombre/Depto: </t>
  </si>
  <si>
    <t xml:space="preserve">Cliente: </t>
  </si>
  <si>
    <t xml:space="preserve">Puesto de trabajo: </t>
  </si>
  <si>
    <t>Modificación</t>
  </si>
  <si>
    <t>Fecha</t>
  </si>
  <si>
    <t>Nombre/Depto.</t>
  </si>
  <si>
    <t>Artículo</t>
  </si>
  <si>
    <t>D (clase)</t>
  </si>
  <si>
    <t>Descripción</t>
  </si>
  <si>
    <t>Nivel de prueba / equipo</t>
  </si>
  <si>
    <t>Responsable</t>
  </si>
  <si>
    <t xml:space="preserve">Producción: </t>
  </si>
  <si>
    <t xml:space="preserve">Fecha: </t>
  </si>
  <si>
    <t xml:space="preserve">Sustituye: </t>
  </si>
  <si>
    <t xml:space="preserve">Distribución: </t>
  </si>
  <si>
    <t>Páginas</t>
  </si>
  <si>
    <t xml:space="preserve">Fecha prevista: </t>
  </si>
  <si>
    <t>Nº</t>
  </si>
  <si>
    <t>Tabulação</t>
  </si>
  <si>
    <t>Nº de Páginas</t>
  </si>
  <si>
    <t>Codigo peça/produto:</t>
  </si>
  <si>
    <t>Descrição da peça/produto:</t>
  </si>
  <si>
    <t>Tabuľka</t>
  </si>
  <si>
    <t>Počet strán</t>
  </si>
  <si>
    <t>Tabulación</t>
  </si>
  <si>
    <t>EIN</t>
  </si>
  <si>
    <t>AUS</t>
  </si>
  <si>
    <t>Classif.</t>
  </si>
  <si>
    <t>PROD:</t>
  </si>
  <si>
    <t>Grupo Productos</t>
  </si>
  <si>
    <t>Grupo Produtos</t>
  </si>
  <si>
    <t>Documento no.</t>
  </si>
  <si>
    <t>Instrução de Trabalho e Controlo</t>
  </si>
  <si>
    <t xml:space="preserve">Descripción de la pieza: </t>
  </si>
  <si>
    <t>Nº de la pieza:</t>
  </si>
  <si>
    <t>中文</t>
  </si>
  <si>
    <t>操作和试验指导书</t>
  </si>
  <si>
    <t>零件名称：</t>
  </si>
  <si>
    <t>OEM：</t>
  </si>
  <si>
    <t>模型/种类：</t>
  </si>
  <si>
    <t>零件号 OEM：</t>
  </si>
  <si>
    <t>项目：</t>
  </si>
  <si>
    <t>DIR：</t>
  </si>
  <si>
    <t>BAT-物料：</t>
  </si>
  <si>
    <t>产品组：</t>
  </si>
  <si>
    <t>DmbA：</t>
  </si>
  <si>
    <t>文件状态：</t>
  </si>
  <si>
    <t>版本/BL:</t>
  </si>
  <si>
    <t>上次变更：</t>
  </si>
  <si>
    <t>责任人：</t>
  </si>
  <si>
    <t>语言：</t>
  </si>
  <si>
    <t>发布日期：</t>
  </si>
  <si>
    <t>姓名/部门：</t>
  </si>
  <si>
    <t>客户：</t>
  </si>
  <si>
    <t>文件号：</t>
  </si>
  <si>
    <t>计划日期：</t>
  </si>
  <si>
    <t>工作站：</t>
  </si>
  <si>
    <t>序列号：</t>
  </si>
  <si>
    <t>修改</t>
  </si>
  <si>
    <t>日期</t>
  </si>
  <si>
    <t>内容</t>
  </si>
  <si>
    <t xml:space="preserve">C </t>
  </si>
  <si>
    <t>描述</t>
  </si>
  <si>
    <t>试验等级/设备</t>
  </si>
  <si>
    <t>负责人</t>
  </si>
  <si>
    <t>生产：</t>
  </si>
  <si>
    <t>日期：</t>
  </si>
  <si>
    <t>质量管理：</t>
  </si>
  <si>
    <t>替代：</t>
  </si>
  <si>
    <t>CH/MO</t>
  </si>
  <si>
    <t>单个零件描述</t>
  </si>
  <si>
    <t>单个零件号：</t>
  </si>
  <si>
    <t>指导</t>
  </si>
  <si>
    <t>页</t>
  </si>
  <si>
    <t>开</t>
  </si>
  <si>
    <t>关</t>
  </si>
  <si>
    <t xml:space="preserve">Part name: </t>
  </si>
  <si>
    <t>Instructions de travail et de test</t>
  </si>
  <si>
    <t xml:space="preserve">Nom de la pièce : </t>
  </si>
  <si>
    <t>OEM :</t>
  </si>
  <si>
    <t xml:space="preserve">Modèle / Variante : </t>
  </si>
  <si>
    <t xml:space="preserve">Référence OEM : </t>
  </si>
  <si>
    <t xml:space="preserve">Projet : </t>
  </si>
  <si>
    <t xml:space="preserve">DIS : </t>
  </si>
  <si>
    <t xml:space="preserve">Groupe de produits : </t>
  </si>
  <si>
    <t xml:space="preserve">DmbA : </t>
  </si>
  <si>
    <t xml:space="preserve">Statut Doc. : </t>
  </si>
  <si>
    <t xml:space="preserve">Vers./BL. : </t>
  </si>
  <si>
    <t xml:space="preserve">Dernière modification : </t>
  </si>
  <si>
    <t xml:space="preserve">Par : </t>
  </si>
  <si>
    <t xml:space="preserve">Langue : </t>
  </si>
  <si>
    <t xml:space="preserve">Date d'émission : </t>
  </si>
  <si>
    <t xml:space="preserve">Nom/Service : </t>
  </si>
  <si>
    <t xml:space="preserve">Client : </t>
  </si>
  <si>
    <t>N° de document</t>
  </si>
  <si>
    <t xml:space="preserve">Date prévue : </t>
  </si>
  <si>
    <t xml:space="preserve">Poste de travail : </t>
  </si>
  <si>
    <t>N° d'article</t>
  </si>
  <si>
    <t>Nom/Service</t>
  </si>
  <si>
    <t>Article</t>
  </si>
  <si>
    <t>D (classe)</t>
  </si>
  <si>
    <t>Niveau de test / équipement</t>
  </si>
  <si>
    <t xml:space="preserve">Production : </t>
  </si>
  <si>
    <t xml:space="preserve">Date : </t>
  </si>
  <si>
    <t xml:space="preserve">QM : </t>
  </si>
  <si>
    <t xml:space="preserve">Remplace : </t>
  </si>
  <si>
    <t xml:space="preserve">Distribution : </t>
  </si>
  <si>
    <t xml:space="preserve">Description de la pièce unique : </t>
  </si>
  <si>
    <t xml:space="preserve">Référence de la pièce unique : </t>
  </si>
  <si>
    <t>Directives</t>
  </si>
  <si>
    <t>español</t>
  </si>
  <si>
    <t xml:space="preserve">BAT-Matérial : </t>
  </si>
  <si>
    <t>日本語</t>
  </si>
  <si>
    <t>português PT</t>
  </si>
  <si>
    <t>português BR</t>
  </si>
  <si>
    <t>norsk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</si>
</sst>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font>
      <sz val="10"/>
      <name val="Arial"/>
    </font>
    <font>
      <sz val="10"/>
      <name val="Arial"/>
      <family val="2"/>
    </font>
    <font>
      <b/>
      <sz val="10"/>
      <name val="Arial"/>
      <family val="2"/>
    </font>
    <font>
      <b/>
      <sz val="16"/>
      <name val="Arial"/>
      <family val="2"/>
    </font>
    <font>
      <b/>
      <sz val="28"/>
      <name val="Arial"/>
      <family val="2"/>
    </font>
    <font>
      <sz val="8"/>
      <name val="Arial"/>
      <family val="2"/>
    </font>
    <font>
      <b/>
      <sz val="14"/>
      <name val="Arial"/>
      <family val="2"/>
    </font>
    <font>
      <sz val="14"/>
      <name val="Arial"/>
      <family val="2"/>
    </font>
    <font>
      <sz val="6"/>
      <color theme="0"/>
      <name val="Arial"/>
      <family val="2"/>
    </font>
    <font>
      <sz val="10"/>
      <color theme="4"/>
      <name val="Arial"/>
      <family val="2"/>
    </font>
    <font>
      <b/>
      <sz val="12"/>
      <name val="Arial"/>
      <family val="2"/>
    </font>
    <font>
      <sz val="10"/>
      <name val="Arial"/>
      <family val="2"/>
      <charset val="238"/>
    </font>
    <font>
      <sz val="10"/>
      <color rgb="FF0000FF"/>
      <name val="Arial"/>
      <family val="2"/>
      <charset val="238"/>
    </font>
    <font>
      <sz val="10"/>
      <color rgb="FF0000FF"/>
      <name val="Arial"/>
      <family val="2"/>
    </font>
    <font>
      <b/>
      <sz val="10"/>
      <name val="Arial"/>
      <family val="2"/>
      <charset val="238"/>
    </font>
    <font>
      <b/>
      <sz val="10"/>
      <color theme="0"/>
      <name val="Arial"/>
      <family val="2"/>
      <charset val="238"/>
    </font>
    <font>
      <sz val="9"/>
      <name val="Arial"/>
      <family val="2"/>
    </font>
    <font>
      <sz val="10"/>
      <color rgb="FF000000"/>
      <name val="Arial"/>
      <family val="2"/>
    </font>
    <font>
      <b/>
      <sz val="10"/>
      <color theme="0"/>
      <name val="Arial"/>
      <family val="2"/>
    </font>
    <font>
      <sz val="10"/>
      <color rgb="FF0033CC"/>
      <name val="Arial"/>
      <family val="2"/>
    </font>
    <font>
      <b/>
      <sz val="10"/>
      <color rgb="FF0033CC"/>
      <name val="Arial"/>
      <family val="2"/>
    </font>
    <font>
      <sz val="9"/>
      <color indexed="81"/>
      <name val="Segoe UI"/>
      <family val="2"/>
    </font>
    <font>
      <b/>
      <sz val="9"/>
      <color indexed="81"/>
      <name val="Segoe UI"/>
      <family val="2"/>
    </font>
    <font>
      <sz val="9"/>
      <name val="宋体"/>
      <family val="3"/>
      <charset val="134"/>
    </font>
  </fonts>
  <fills count="6">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rgb="FFA5A5A5"/>
      </patternFill>
    </fill>
  </fills>
  <borders count="73">
    <border>
      <left/>
      <right/>
      <top/>
      <bottom/>
      <diagonal/>
    </border>
    <border>
      <left/>
      <right style="medium">
        <color indexed="64"/>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style="thin">
        <color indexed="64"/>
      </left>
      <right/>
      <top style="medium">
        <color indexed="64"/>
      </top>
      <bottom style="medium">
        <color rgb="FF000000"/>
      </bottom>
      <diagonal/>
    </border>
    <border>
      <left/>
      <right style="thin">
        <color indexed="64"/>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n">
        <color rgb="FF000000"/>
      </left>
      <right/>
      <top style="medium">
        <color indexed="64"/>
      </top>
      <bottom style="medium">
        <color rgb="FF000000"/>
      </bottom>
      <diagonal/>
    </border>
    <border>
      <left/>
      <right style="thin">
        <color rgb="FF000000"/>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medium">
        <color rgb="FF000000"/>
      </left>
      <right/>
      <top style="medium">
        <color rgb="FF000000"/>
      </top>
      <bottom style="medium">
        <color indexed="64"/>
      </bottom>
      <diagonal/>
    </border>
    <border>
      <left/>
      <right style="thin">
        <color rgb="FF000000"/>
      </right>
      <top style="medium">
        <color rgb="FF000000"/>
      </top>
      <bottom style="medium">
        <color indexed="64"/>
      </bottom>
      <diagonal/>
    </border>
    <border>
      <left style="thin">
        <color rgb="FF000000"/>
      </left>
      <right style="thin">
        <color rgb="FF000000"/>
      </right>
      <top style="medium">
        <color rgb="FF000000"/>
      </top>
      <bottom style="medium">
        <color indexed="64"/>
      </bottom>
      <diagonal/>
    </border>
    <border>
      <left style="thin">
        <color rgb="FF000000"/>
      </left>
      <right style="thin">
        <color indexed="64"/>
      </right>
      <top style="medium">
        <color rgb="FF000000"/>
      </top>
      <bottom style="medium">
        <color indexed="64"/>
      </bottom>
      <diagonal/>
    </border>
    <border>
      <left style="thin">
        <color indexed="64"/>
      </left>
      <right/>
      <top style="medium">
        <color rgb="FF000000"/>
      </top>
      <bottom style="medium">
        <color indexed="64"/>
      </bottom>
      <diagonal/>
    </border>
    <border>
      <left/>
      <right/>
      <top style="medium">
        <color rgb="FF000000"/>
      </top>
      <bottom style="medium">
        <color indexed="64"/>
      </bottom>
      <diagonal/>
    </border>
    <border>
      <left/>
      <right style="thin">
        <color indexed="64"/>
      </right>
      <top style="medium">
        <color rgb="FF000000"/>
      </top>
      <bottom style="medium">
        <color indexed="64"/>
      </bottom>
      <diagonal/>
    </border>
    <border>
      <left style="thin">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1" fillId="0" borderId="0"/>
    <xf numFmtId="0" fontId="18" fillId="5" borderId="72" applyNumberFormat="0" applyAlignment="0" applyProtection="0"/>
  </cellStyleXfs>
  <cellXfs count="222">
    <xf numFmtId="0" fontId="0" fillId="0" borderId="0" xfId="0"/>
    <xf numFmtId="0" fontId="0" fillId="0" borderId="0" xfId="0" applyAlignment="1">
      <alignment vertical="center"/>
    </xf>
    <xf numFmtId="0" fontId="0" fillId="0" borderId="2"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2" fillId="0" borderId="0" xfId="0" applyFont="1"/>
    <xf numFmtId="0" fontId="2"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4" fillId="0" borderId="2" xfId="0" applyFont="1" applyBorder="1" applyAlignment="1">
      <alignment vertical="center" wrapText="1"/>
    </xf>
    <xf numFmtId="0" fontId="1" fillId="0" borderId="0" xfId="0" applyFont="1"/>
    <xf numFmtId="0" fontId="0" fillId="0" borderId="0" xfId="0" applyAlignment="1">
      <alignment horizontal="center" vertical="center"/>
    </xf>
    <xf numFmtId="0" fontId="0" fillId="0" borderId="0" xfId="0" applyAlignment="1">
      <alignment horizontal="left" vertical="center"/>
    </xf>
    <xf numFmtId="0" fontId="1" fillId="0" borderId="0" xfId="0" quotePrefix="1" applyFont="1" applyAlignment="1">
      <alignment horizontal="center"/>
    </xf>
    <xf numFmtId="0" fontId="8" fillId="0" borderId="18" xfId="0" applyFont="1" applyBorder="1" applyAlignment="1">
      <alignment vertical="center"/>
    </xf>
    <xf numFmtId="0" fontId="1" fillId="0" borderId="0" xfId="0" applyFont="1" applyAlignment="1">
      <alignment horizontal="left"/>
    </xf>
    <xf numFmtId="0" fontId="0" fillId="2" borderId="14" xfId="0" applyFill="1" applyBorder="1" applyAlignment="1">
      <alignment vertical="center"/>
    </xf>
    <xf numFmtId="0" fontId="0" fillId="2" borderId="19" xfId="0" applyFill="1" applyBorder="1" applyAlignment="1">
      <alignment vertical="center"/>
    </xf>
    <xf numFmtId="0" fontId="9" fillId="0" borderId="0" xfId="0" applyFont="1"/>
    <xf numFmtId="0" fontId="9" fillId="0" borderId="0" xfId="0" applyFont="1" applyAlignment="1">
      <alignment horizontal="left"/>
    </xf>
    <xf numFmtId="0" fontId="11" fillId="0" borderId="0" xfId="0" applyFont="1"/>
    <xf numFmtId="0" fontId="11" fillId="0" borderId="0" xfId="0" applyFont="1" applyAlignment="1">
      <alignment horizontal="left"/>
    </xf>
    <xf numFmtId="0" fontId="1" fillId="0" borderId="0" xfId="0" applyFont="1" applyAlignment="1">
      <alignment horizontal="right" vertical="center"/>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right" vertical="center"/>
    </xf>
    <xf numFmtId="0" fontId="0" fillId="0" borderId="10" xfId="0" applyBorder="1" applyAlignment="1">
      <alignment horizontal="center" vertical="center"/>
    </xf>
    <xf numFmtId="0" fontId="0" fillId="2" borderId="9" xfId="0" applyFill="1" applyBorder="1" applyAlignment="1">
      <alignment vertical="center"/>
    </xf>
    <xf numFmtId="0" fontId="0" fillId="2" borderId="22" xfId="0" applyFill="1" applyBorder="1" applyAlignment="1">
      <alignment vertical="center"/>
    </xf>
    <xf numFmtId="0" fontId="0" fillId="2" borderId="20" xfId="0" applyFill="1" applyBorder="1" applyAlignment="1">
      <alignment vertical="center"/>
    </xf>
    <xf numFmtId="0" fontId="0" fillId="2" borderId="21" xfId="0" applyFill="1" applyBorder="1" applyAlignment="1">
      <alignment vertical="center"/>
    </xf>
    <xf numFmtId="0" fontId="0" fillId="0" borderId="7" xfId="0" applyBorder="1" applyAlignment="1">
      <alignment horizontal="left" vertical="center"/>
    </xf>
    <xf numFmtId="0" fontId="0" fillId="0" borderId="0" xfId="0" applyAlignment="1">
      <alignment horizontal="right" vertical="center"/>
    </xf>
    <xf numFmtId="0" fontId="0" fillId="0" borderId="1" xfId="0" applyBorder="1" applyAlignment="1">
      <alignment vertical="center"/>
    </xf>
    <xf numFmtId="0" fontId="0" fillId="0" borderId="4" xfId="0" applyBorder="1" applyAlignment="1">
      <alignment horizontal="right" vertical="center"/>
    </xf>
    <xf numFmtId="0" fontId="0" fillId="0" borderId="2" xfId="0" applyBorder="1" applyAlignment="1">
      <alignment horizontal="right" vertical="center"/>
    </xf>
    <xf numFmtId="0" fontId="0" fillId="0" borderId="3" xfId="0" applyBorder="1" applyAlignment="1">
      <alignment vertical="center"/>
    </xf>
    <xf numFmtId="0" fontId="6" fillId="0" borderId="0" xfId="0" applyFont="1" applyAlignment="1">
      <alignment horizontal="left" vertical="center"/>
    </xf>
    <xf numFmtId="0" fontId="0" fillId="0" borderId="2" xfId="0" applyBorder="1" applyAlignment="1">
      <alignment horizontal="left" vertical="center"/>
    </xf>
    <xf numFmtId="0" fontId="12" fillId="0" borderId="0" xfId="0" applyFont="1" applyAlignment="1">
      <alignment horizontal="left"/>
    </xf>
    <xf numFmtId="0" fontId="12" fillId="0" borderId="0" xfId="0" applyFont="1"/>
    <xf numFmtId="0" fontId="13" fillId="0" borderId="0" xfId="0" applyFont="1" applyAlignment="1">
      <alignment horizontal="left"/>
    </xf>
    <xf numFmtId="0" fontId="2" fillId="0" borderId="0" xfId="0" applyFont="1" applyAlignment="1">
      <alignment vertical="center"/>
    </xf>
    <xf numFmtId="0" fontId="0" fillId="0" borderId="42" xfId="0" applyBorder="1" applyAlignment="1">
      <alignment horizontal="center" vertical="center"/>
    </xf>
    <xf numFmtId="0" fontId="0" fillId="0" borderId="42" xfId="0" applyBorder="1" applyAlignment="1">
      <alignment horizontal="center" vertical="top"/>
    </xf>
    <xf numFmtId="0" fontId="6" fillId="0" borderId="42" xfId="0" applyFont="1" applyBorder="1" applyAlignment="1">
      <alignment horizontal="center"/>
    </xf>
    <xf numFmtId="0" fontId="6" fillId="0" borderId="42" xfId="0" applyFont="1" applyBorder="1" applyAlignment="1">
      <alignment horizontal="center" vertical="center"/>
    </xf>
    <xf numFmtId="0" fontId="6" fillId="0" borderId="40" xfId="0" applyFont="1" applyBorder="1" applyAlignment="1">
      <alignment horizontal="left" vertical="center"/>
    </xf>
    <xf numFmtId="0" fontId="6" fillId="0" borderId="41" xfId="0" applyFont="1" applyBorder="1" applyAlignment="1">
      <alignment horizontal="left" vertical="center"/>
    </xf>
    <xf numFmtId="0" fontId="11" fillId="0" borderId="45" xfId="1" applyBorder="1" applyAlignment="1">
      <alignment horizontal="center" vertical="center"/>
    </xf>
    <xf numFmtId="0" fontId="0" fillId="0" borderId="51" xfId="0" applyBorder="1" applyAlignment="1">
      <alignment horizontal="right" vertical="center"/>
    </xf>
    <xf numFmtId="0" fontId="0" fillId="0" borderId="55" xfId="0" applyBorder="1" applyAlignment="1">
      <alignment horizontal="left"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left" vertical="center"/>
    </xf>
    <xf numFmtId="0" fontId="0" fillId="0" borderId="57" xfId="0" applyBorder="1" applyAlignment="1">
      <alignment horizontal="left" vertical="center"/>
    </xf>
    <xf numFmtId="0" fontId="11" fillId="0" borderId="3" xfId="0" applyFont="1" applyBorder="1" applyAlignment="1">
      <alignment vertical="center"/>
    </xf>
    <xf numFmtId="0" fontId="11" fillId="0" borderId="4" xfId="0" applyFont="1" applyBorder="1" applyAlignment="1">
      <alignment vertical="center"/>
    </xf>
    <xf numFmtId="0" fontId="14" fillId="0" borderId="33" xfId="0" applyFont="1" applyBorder="1" applyAlignment="1">
      <alignment vertical="center"/>
    </xf>
    <xf numFmtId="0" fontId="14" fillId="0" borderId="37" xfId="0" applyFont="1" applyBorder="1" applyAlignment="1">
      <alignment vertical="center"/>
    </xf>
    <xf numFmtId="0" fontId="14" fillId="0" borderId="4" xfId="0" applyFont="1" applyBorder="1" applyAlignment="1">
      <alignment vertical="center"/>
    </xf>
    <xf numFmtId="0" fontId="14" fillId="0" borderId="5" xfId="0" applyFont="1" applyBorder="1" applyAlignment="1">
      <alignment vertical="center"/>
    </xf>
    <xf numFmtId="0" fontId="15" fillId="0" borderId="5" xfId="0" applyFont="1" applyBorder="1" applyAlignment="1">
      <alignment horizontal="center" vertical="center"/>
    </xf>
    <xf numFmtId="0" fontId="11" fillId="3" borderId="1" xfId="0" applyFont="1" applyFill="1" applyBorder="1" applyAlignment="1">
      <alignment horizontal="center" vertical="center"/>
    </xf>
    <xf numFmtId="0" fontId="0" fillId="0" borderId="67" xfId="0" applyBorder="1" applyAlignment="1">
      <alignment horizontal="right" vertical="center"/>
    </xf>
    <xf numFmtId="0" fontId="13" fillId="0" borderId="0" xfId="0" applyFont="1"/>
    <xf numFmtId="0" fontId="16" fillId="0" borderId="12" xfId="0" applyFont="1" applyBorder="1" applyAlignment="1">
      <alignment horizontal="right" vertical="center"/>
    </xf>
    <xf numFmtId="0" fontId="0" fillId="4" borderId="15" xfId="0" applyFill="1" applyBorder="1" applyAlignment="1">
      <alignment horizontal="righ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59" xfId="0" applyBorder="1" applyAlignment="1">
      <alignment horizontal="center" vertical="center"/>
    </xf>
    <xf numFmtId="0" fontId="11" fillId="0" borderId="44" xfId="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left"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0" xfId="0" applyFont="1" applyAlignment="1">
      <alignment wrapText="1"/>
    </xf>
    <xf numFmtId="0" fontId="0" fillId="0" borderId="38" xfId="0" applyBorder="1" applyAlignment="1">
      <alignment vertical="center"/>
    </xf>
    <xf numFmtId="0" fontId="0" fillId="0" borderId="39" xfId="0" applyBorder="1" applyAlignment="1">
      <alignment vertical="center"/>
    </xf>
    <xf numFmtId="0" fontId="0" fillId="0" borderId="54" xfId="0" applyBorder="1" applyAlignment="1">
      <alignment vertical="center"/>
    </xf>
    <xf numFmtId="0" fontId="0" fillId="0" borderId="55" xfId="0" applyBorder="1" applyAlignment="1">
      <alignment vertical="center"/>
    </xf>
    <xf numFmtId="0" fontId="0" fillId="0" borderId="56"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57" xfId="0"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18" fillId="5" borderId="72" xfId="2"/>
    <xf numFmtId="0" fontId="19" fillId="0" borderId="0" xfId="0" applyFont="1"/>
    <xf numFmtId="0" fontId="19" fillId="0" borderId="0" xfId="0" applyFont="1" applyAlignment="1">
      <alignment horizontal="left"/>
    </xf>
    <xf numFmtId="0" fontId="20" fillId="5" borderId="72" xfId="2" applyFont="1"/>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6"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11" fillId="0" borderId="43" xfId="1" applyBorder="1" applyAlignment="1">
      <alignment horizontal="center" vertical="center"/>
    </xf>
    <xf numFmtId="0" fontId="11" fillId="0" borderId="44" xfId="1"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59" xfId="0" applyBorder="1" applyAlignment="1">
      <alignment horizontal="center" vertical="center"/>
    </xf>
    <xf numFmtId="0" fontId="0" fillId="0" borderId="57" xfId="0" applyBorder="1" applyAlignment="1">
      <alignment horizontal="center" vertical="center"/>
    </xf>
    <xf numFmtId="0" fontId="1" fillId="2" borderId="9" xfId="0" applyFont="1" applyFill="1" applyBorder="1" applyAlignment="1">
      <alignment horizontal="center" vertical="center" shrinkToFit="1"/>
    </xf>
    <xf numFmtId="0" fontId="0" fillId="2" borderId="9" xfId="0" applyFill="1" applyBorder="1" applyAlignment="1">
      <alignment horizontal="center" vertical="center" shrinkToFit="1"/>
    </xf>
    <xf numFmtId="0" fontId="0" fillId="2" borderId="11" xfId="0" applyFill="1" applyBorder="1" applyAlignment="1">
      <alignment horizontal="left" vertical="center"/>
    </xf>
    <xf numFmtId="0" fontId="0" fillId="2" borderId="31" xfId="0" applyFill="1" applyBorder="1" applyAlignment="1">
      <alignment horizontal="left" vertical="center"/>
    </xf>
    <xf numFmtId="0" fontId="0" fillId="2" borderId="24" xfId="0" applyFill="1" applyBorder="1" applyAlignment="1">
      <alignment horizontal="left" vertical="center"/>
    </xf>
    <xf numFmtId="0" fontId="0" fillId="2" borderId="32" xfId="0" applyFill="1" applyBorder="1" applyAlignment="1">
      <alignment horizontal="left" vertical="center"/>
    </xf>
    <xf numFmtId="0" fontId="1" fillId="2" borderId="14" xfId="0" applyFont="1" applyFill="1" applyBorder="1" applyAlignment="1">
      <alignment horizontal="center" vertical="center"/>
    </xf>
    <xf numFmtId="0" fontId="1" fillId="2" borderId="13" xfId="0" applyFont="1" applyFill="1" applyBorder="1" applyAlignment="1">
      <alignment horizontal="center" vertical="center"/>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3" fillId="0" borderId="0" xfId="0" applyFont="1" applyAlignment="1">
      <alignment horizontal="center" vertical="center" shrinkToFit="1"/>
    </xf>
    <xf numFmtId="0" fontId="1" fillId="2" borderId="14" xfId="0" applyFont="1" applyFill="1" applyBorder="1" applyAlignment="1">
      <alignment horizontal="center" vertical="center" shrinkToFit="1"/>
    </xf>
    <xf numFmtId="0" fontId="0" fillId="2" borderId="13" xfId="0" applyFill="1" applyBorder="1" applyAlignment="1">
      <alignment horizontal="center" vertical="center" shrinkToFit="1"/>
    </xf>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0" fillId="0" borderId="63" xfId="0" applyBorder="1" applyAlignment="1">
      <alignment horizontal="right" vertical="center"/>
    </xf>
    <xf numFmtId="0" fontId="0" fillId="0" borderId="64" xfId="0" applyBorder="1" applyAlignment="1">
      <alignment horizontal="right" vertical="center"/>
    </xf>
    <xf numFmtId="0" fontId="2" fillId="4" borderId="33" xfId="0" applyFont="1" applyFill="1" applyBorder="1" applyAlignment="1">
      <alignment horizontal="right" vertical="center"/>
    </xf>
    <xf numFmtId="0" fontId="2" fillId="4" borderId="34" xfId="0" applyFont="1" applyFill="1" applyBorder="1" applyAlignment="1">
      <alignment horizontal="right" vertical="center"/>
    </xf>
    <xf numFmtId="0" fontId="6" fillId="2" borderId="34" xfId="0" applyFont="1" applyFill="1" applyBorder="1" applyAlignment="1">
      <alignment horizontal="center" vertical="center"/>
    </xf>
    <xf numFmtId="0" fontId="6" fillId="2" borderId="35" xfId="0" applyFont="1" applyFill="1" applyBorder="1" applyAlignment="1">
      <alignment horizontal="center" vertical="center"/>
    </xf>
    <xf numFmtId="0" fontId="2" fillId="4" borderId="36" xfId="0" applyFont="1" applyFill="1" applyBorder="1" applyAlignment="1">
      <alignment horizontal="right" vertical="center"/>
    </xf>
    <xf numFmtId="0" fontId="6" fillId="2" borderId="37" xfId="0" applyFont="1" applyFill="1" applyBorder="1" applyAlignment="1">
      <alignment horizontal="center" vertical="center"/>
    </xf>
    <xf numFmtId="0" fontId="11" fillId="0" borderId="46" xfId="1" applyBorder="1" applyAlignment="1">
      <alignment horizontal="center" vertical="center"/>
    </xf>
    <xf numFmtId="0" fontId="11" fillId="0" borderId="48" xfId="1" applyBorder="1" applyAlignment="1">
      <alignment horizontal="center" vertical="center"/>
    </xf>
    <xf numFmtId="0" fontId="11" fillId="0" borderId="47" xfId="1" applyBorder="1" applyAlignment="1">
      <alignment horizontal="center" vertical="center"/>
    </xf>
    <xf numFmtId="0" fontId="11" fillId="4" borderId="46" xfId="1" applyFill="1" applyBorder="1" applyAlignment="1">
      <alignment horizontal="center" vertical="center"/>
    </xf>
    <xf numFmtId="0" fontId="11" fillId="4" borderId="44" xfId="1" applyFill="1" applyBorder="1" applyAlignment="1">
      <alignment horizontal="center" vertical="center"/>
    </xf>
    <xf numFmtId="0" fontId="1" fillId="2" borderId="11" xfId="0" applyFont="1" applyFill="1" applyBorder="1" applyAlignment="1">
      <alignment horizontal="left"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0" borderId="15" xfId="0" applyBorder="1" applyAlignment="1">
      <alignment horizontal="right" vertical="center"/>
    </xf>
    <xf numFmtId="0" fontId="0" fillId="0" borderId="24" xfId="0" applyBorder="1" applyAlignment="1">
      <alignment horizontal="right" vertical="center"/>
    </xf>
    <xf numFmtId="0" fontId="0" fillId="4" borderId="51" xfId="0" applyFill="1" applyBorder="1" applyAlignment="1">
      <alignment horizontal="right" vertical="center"/>
    </xf>
    <xf numFmtId="0" fontId="0" fillId="4" borderId="61" xfId="0" applyFill="1" applyBorder="1" applyAlignment="1">
      <alignment horizontal="right" vertical="center"/>
    </xf>
    <xf numFmtId="0" fontId="10" fillId="0" borderId="38" xfId="0" quotePrefix="1" applyFont="1" applyBorder="1" applyAlignment="1">
      <alignment horizontal="center" vertical="top" wrapText="1"/>
    </xf>
    <xf numFmtId="0" fontId="10" fillId="0" borderId="41" xfId="0" applyFont="1" applyBorder="1" applyAlignment="1">
      <alignment horizontal="center" vertical="top"/>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10" fillId="0" borderId="54" xfId="0" applyFont="1" applyBorder="1" applyAlignment="1">
      <alignment horizontal="center" vertical="center"/>
    </xf>
    <xf numFmtId="0" fontId="10" fillId="0" borderId="57" xfId="0" applyFont="1" applyBorder="1" applyAlignment="1">
      <alignment horizontal="center" vertical="center"/>
    </xf>
    <xf numFmtId="0" fontId="0" fillId="0" borderId="49" xfId="0" applyBorder="1" applyAlignment="1">
      <alignment horizontal="right" vertical="center"/>
    </xf>
    <xf numFmtId="0" fontId="0" fillId="0" borderId="61" xfId="0" applyBorder="1" applyAlignment="1">
      <alignment horizontal="right" vertical="center"/>
    </xf>
    <xf numFmtId="16" fontId="10" fillId="0" borderId="38" xfId="0" quotePrefix="1" applyNumberFormat="1" applyFont="1" applyBorder="1" applyAlignment="1">
      <alignment horizontal="center" vertical="top" wrapText="1"/>
    </xf>
    <xf numFmtId="16" fontId="10" fillId="0" borderId="38" xfId="0" quotePrefix="1" applyNumberFormat="1"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7" fillId="0" borderId="40" xfId="0" applyFont="1" applyBorder="1" applyAlignment="1">
      <alignment horizontal="left" vertical="center"/>
    </xf>
    <xf numFmtId="0" fontId="0" fillId="2" borderId="20" xfId="0" applyFill="1" applyBorder="1" applyAlignment="1">
      <alignment vertical="center"/>
    </xf>
    <xf numFmtId="0" fontId="0" fillId="2" borderId="27" xfId="0" applyFill="1" applyBorder="1" applyAlignment="1">
      <alignment vertical="center"/>
    </xf>
    <xf numFmtId="0" fontId="0" fillId="2" borderId="14" xfId="0" applyFill="1" applyBorder="1" applyAlignment="1">
      <alignment horizontal="center" vertical="center"/>
    </xf>
    <xf numFmtId="0" fontId="0" fillId="2" borderId="28" xfId="0" applyFill="1" applyBorder="1" applyAlignment="1">
      <alignment horizontal="center" vertical="center"/>
    </xf>
    <xf numFmtId="0" fontId="0" fillId="2" borderId="13" xfId="0" applyFill="1" applyBorder="1" applyAlignment="1">
      <alignment horizontal="center" vertical="center"/>
    </xf>
    <xf numFmtId="0" fontId="0" fillId="0" borderId="17" xfId="0" applyBorder="1" applyAlignment="1">
      <alignment horizontal="center" vertical="center"/>
    </xf>
    <xf numFmtId="0" fontId="0" fillId="0" borderId="29" xfId="0" applyBorder="1" applyAlignment="1">
      <alignment horizontal="center" vertical="center"/>
    </xf>
    <xf numFmtId="0" fontId="0" fillId="2" borderId="19" xfId="0" applyFill="1" applyBorder="1" applyAlignment="1">
      <alignment horizontal="center" vertical="center"/>
    </xf>
    <xf numFmtId="0" fontId="0" fillId="2" borderId="24" xfId="0" applyFill="1" applyBorder="1" applyAlignment="1">
      <alignment horizontal="center" vertical="center"/>
    </xf>
    <xf numFmtId="0" fontId="0" fillId="2" borderId="30" xfId="0" applyFill="1" applyBorder="1" applyAlignment="1">
      <alignment horizontal="center"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25" xfId="0" applyBorder="1" applyAlignment="1">
      <alignment horizontal="center" vertical="center"/>
    </xf>
    <xf numFmtId="0" fontId="0" fillId="2" borderId="9" xfId="0" applyFill="1" applyBorder="1" applyAlignment="1">
      <alignment vertical="center"/>
    </xf>
    <xf numFmtId="0" fontId="0" fillId="0" borderId="16" xfId="0" applyBorder="1" applyAlignment="1">
      <alignment horizontal="center" vertical="center"/>
    </xf>
    <xf numFmtId="0" fontId="0" fillId="2" borderId="22" xfId="0" applyFill="1" applyBorder="1" applyAlignment="1">
      <alignment vertical="center"/>
    </xf>
    <xf numFmtId="0" fontId="0" fillId="2" borderId="21" xfId="0" applyFill="1" applyBorder="1" applyAlignment="1">
      <alignment vertical="center"/>
    </xf>
    <xf numFmtId="0" fontId="1" fillId="0" borderId="0" xfId="0" applyFont="1" applyAlignment="1">
      <alignment horizontal="right" vertical="center"/>
    </xf>
    <xf numFmtId="0" fontId="1" fillId="0" borderId="23" xfId="0" applyFont="1" applyBorder="1" applyAlignment="1">
      <alignment horizontal="right" vertical="center"/>
    </xf>
    <xf numFmtId="0" fontId="0" fillId="4" borderId="12" xfId="0" applyFill="1" applyBorder="1" applyAlignment="1">
      <alignment horizontal="right" vertical="center"/>
    </xf>
    <xf numFmtId="0" fontId="0" fillId="4" borderId="11" xfId="0" applyFill="1" applyBorder="1" applyAlignment="1">
      <alignment horizontal="right" vertical="center"/>
    </xf>
    <xf numFmtId="0" fontId="0" fillId="2" borderId="26" xfId="0" applyFill="1" applyBorder="1" applyAlignment="1">
      <alignment vertical="center"/>
    </xf>
    <xf numFmtId="0" fontId="1" fillId="2" borderId="14" xfId="0" applyFont="1" applyFill="1" applyBorder="1" applyAlignment="1">
      <alignment horizontal="center" vertical="center" wrapText="1"/>
    </xf>
    <xf numFmtId="0" fontId="0" fillId="2" borderId="13" xfId="0" applyFill="1" applyBorder="1" applyAlignment="1">
      <alignment horizontal="center" vertical="center" wrapText="1"/>
    </xf>
    <xf numFmtId="14" fontId="0" fillId="2" borderId="11" xfId="0" applyNumberFormat="1" applyFill="1" applyBorder="1" applyAlignment="1">
      <alignment horizontal="left" vertical="center"/>
    </xf>
    <xf numFmtId="14" fontId="0" fillId="2" borderId="31" xfId="0" applyNumberFormat="1" applyFill="1" applyBorder="1" applyAlignment="1">
      <alignment horizontal="left" vertical="center"/>
    </xf>
    <xf numFmtId="14" fontId="0" fillId="2" borderId="14" xfId="0" applyNumberFormat="1" applyFill="1" applyBorder="1" applyAlignment="1">
      <alignment horizontal="center" vertical="center"/>
    </xf>
    <xf numFmtId="14" fontId="0" fillId="2" borderId="13" xfId="0" applyNumberFormat="1" applyFill="1" applyBorder="1" applyAlignment="1">
      <alignment horizontal="center" vertical="center"/>
    </xf>
    <xf numFmtId="0" fontId="0" fillId="2" borderId="68" xfId="0" applyFill="1" applyBorder="1" applyAlignment="1">
      <alignment vertical="center"/>
    </xf>
    <xf numFmtId="0" fontId="0" fillId="2" borderId="69" xfId="0" applyFill="1" applyBorder="1" applyAlignment="1">
      <alignment vertical="center"/>
    </xf>
    <xf numFmtId="0" fontId="0" fillId="0" borderId="40" xfId="0" applyBorder="1" applyAlignment="1">
      <alignment horizontal="left" vertical="center"/>
    </xf>
    <xf numFmtId="0" fontId="0" fillId="0" borderId="0" xfId="0" applyAlignment="1">
      <alignment horizontal="left"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39" xfId="0" applyFont="1" applyBorder="1" applyAlignment="1">
      <alignment horizontal="center" vertical="center"/>
    </xf>
    <xf numFmtId="0" fontId="0" fillId="2" borderId="65" xfId="0" applyFill="1" applyBorder="1" applyAlignment="1">
      <alignment horizontal="left" vertical="center"/>
    </xf>
    <xf numFmtId="0" fontId="0" fillId="2" borderId="66" xfId="0" applyFill="1" applyBorder="1" applyAlignment="1">
      <alignment horizontal="left" vertical="center"/>
    </xf>
    <xf numFmtId="0" fontId="0" fillId="2" borderId="70" xfId="0" applyFill="1" applyBorder="1" applyAlignment="1">
      <alignment vertical="center"/>
    </xf>
    <xf numFmtId="0" fontId="0" fillId="2" borderId="64" xfId="0" applyFill="1" applyBorder="1" applyAlignment="1">
      <alignment vertical="center"/>
    </xf>
    <xf numFmtId="0" fontId="0" fillId="2" borderId="71" xfId="0" applyFill="1" applyBorder="1" applyAlignment="1">
      <alignment vertical="center"/>
    </xf>
    <xf numFmtId="0" fontId="0" fillId="2" borderId="60" xfId="0" applyFill="1" applyBorder="1" applyAlignment="1">
      <alignment vertical="center"/>
    </xf>
    <xf numFmtId="0" fontId="0" fillId="2" borderId="61" xfId="0" applyFill="1" applyBorder="1" applyAlignment="1">
      <alignment vertical="center"/>
    </xf>
    <xf numFmtId="0" fontId="0" fillId="2" borderId="53" xfId="0" applyFill="1" applyBorder="1" applyAlignment="1">
      <alignment vertical="center"/>
    </xf>
    <xf numFmtId="0" fontId="0" fillId="0" borderId="67" xfId="0" applyBorder="1" applyAlignment="1">
      <alignment horizontal="right" vertical="center"/>
    </xf>
    <xf numFmtId="0" fontId="0" fillId="2" borderId="62" xfId="0" applyFill="1" applyBorder="1" applyAlignment="1">
      <alignment horizontal="left" vertical="center"/>
    </xf>
    <xf numFmtId="0" fontId="0" fillId="2" borderId="60" xfId="0" applyFill="1" applyBorder="1" applyAlignment="1">
      <alignment horizontal="left" vertical="center"/>
    </xf>
    <xf numFmtId="0" fontId="0" fillId="2" borderId="50" xfId="0" applyFill="1" applyBorder="1" applyAlignment="1">
      <alignment vertical="center"/>
    </xf>
    <xf numFmtId="0" fontId="0" fillId="2" borderId="52" xfId="0" applyFill="1" applyBorder="1" applyAlignment="1">
      <alignment vertical="center"/>
    </xf>
  </cellXfs>
  <cellStyles count="3">
    <cellStyle name="Check Cell" xfId="2" builtinId="23"/>
    <cellStyle name="Normal" xfId="0" builtinId="0"/>
    <cellStyle name="Normální 2" xfId="1" xr:uid="{00000000-0005-0000-0000-000001000000}"/>
  </cellStyles>
  <dxfs count="4">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AC13BADA-CE4D-4331-B01E-A466D1038EE9}"/>
  </tableStyles>
  <colors>
    <mruColors>
      <color rgb="FFFFFFCC"/>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939959" y="226117"/>
          <a:ext cx="931937" cy="2417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50312" y="220319"/>
          <a:ext cx="933180" cy="24091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B1:S722"/>
  <sheetViews>
    <sheetView showGridLines="0" tabSelected="1" view="pageBreakPreview" zoomScale="115" zoomScaleNormal="85" zoomScaleSheetLayoutView="115" workbookViewId="0">
      <selection activeCell="N3" sqref="N3"/>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30" t="str">
        <f>HLOOKUP($N$3,Translations,2,0)</f>
        <v>Working and Test Instruction</v>
      </c>
      <c r="D3" s="130"/>
      <c r="E3" s="130"/>
      <c r="F3" s="130"/>
      <c r="G3" s="25" t="str">
        <f>HLOOKUP($N$3,Translations,7,0)</f>
        <v xml:space="preserve">Project: </v>
      </c>
      <c r="H3" s="120"/>
      <c r="I3" s="121"/>
      <c r="J3" s="25" t="s">
        <v>182</v>
      </c>
      <c r="K3" s="126"/>
      <c r="L3" s="127"/>
      <c r="M3" s="25" t="str">
        <f>HLOOKUP($N$3,Translations,16,0)</f>
        <v xml:space="preserve">language: </v>
      </c>
      <c r="N3" s="110" t="s">
        <v>13</v>
      </c>
      <c r="P3" s="36"/>
      <c r="R3" s="61" t="str">
        <f>HLOOKUP($N$3,Translations,45,0)</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90" t="str">
        <f>HLOOKUP($N$3,Translations,4,0)</f>
        <v>OEM:</v>
      </c>
      <c r="D6" s="191"/>
      <c r="E6" s="195"/>
      <c r="F6" s="196"/>
      <c r="G6" s="25" t="str">
        <f>HLOOKUP($N$3,Translations,6,0)</f>
        <v xml:space="preserve">Part No. OEM: </v>
      </c>
      <c r="H6" s="131"/>
      <c r="I6" s="132"/>
      <c r="J6" s="25" t="str">
        <f>HLOOKUP($N$3,Translations,8,0)</f>
        <v xml:space="preserve">DIS: </v>
      </c>
      <c r="K6" s="126"/>
      <c r="L6" s="172"/>
      <c r="M6" s="173"/>
      <c r="N6" s="25" t="str">
        <f>HLOOKUP($N$3,Translations,11,0)</f>
        <v xml:space="preserve">DmbA: </v>
      </c>
      <c r="O6" s="112" t="s">
        <v>3</v>
      </c>
      <c r="P6" s="17"/>
      <c r="R6" s="59" t="str">
        <f>HLOOKUP($N$3,Translations,46,0)</f>
        <v>Pages</v>
      </c>
      <c r="S6" s="66">
        <v>2</v>
      </c>
    </row>
    <row r="7" spans="2:19" ht="5.0999999999999996" customHeight="1">
      <c r="B7" s="39"/>
      <c r="E7" s="1"/>
      <c r="F7" s="1"/>
      <c r="G7" s="35"/>
      <c r="H7" s="14"/>
      <c r="I7" s="14"/>
      <c r="J7" s="35"/>
      <c r="P7" s="36"/>
      <c r="R7" s="39"/>
      <c r="S7" s="36"/>
    </row>
    <row r="8" spans="2:19" ht="12.75" customHeight="1" thickBot="1">
      <c r="B8" s="39"/>
      <c r="C8" s="190" t="str">
        <f>HLOOKUP($N$3,Translations,3,0)</f>
        <v xml:space="preserve">Part name: </v>
      </c>
      <c r="D8" s="191"/>
      <c r="E8" s="199"/>
      <c r="F8" s="200"/>
      <c r="G8" s="25" t="str">
        <f>HLOOKUP($N$3,Translations,5,0)</f>
        <v xml:space="preserve">Model / Variant: </v>
      </c>
      <c r="H8" s="133"/>
      <c r="I8" s="134"/>
      <c r="J8" s="25" t="str">
        <f>HLOOKUP($N$3,Translations,9,0)</f>
        <v xml:space="preserve">BAT-Material: </v>
      </c>
      <c r="K8" s="171"/>
      <c r="L8" s="172"/>
      <c r="M8" s="173"/>
      <c r="N8" s="25" t="str">
        <f>HLOOKUP($N$3,Translations,10,0)</f>
        <v xml:space="preserve">Productgroup: </v>
      </c>
      <c r="O8" s="113"/>
      <c r="P8" s="36"/>
      <c r="R8" s="60" t="str">
        <f>HLOOKUP($N$3,Translations,45,0)</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37" t="str">
        <f>HLOOKUP($N$3,Translations,42,0)</f>
        <v xml:space="preserve">Single Part description: </v>
      </c>
      <c r="C10" s="138"/>
      <c r="D10" s="138"/>
      <c r="E10" s="138"/>
      <c r="F10" s="139"/>
      <c r="G10" s="139"/>
      <c r="H10" s="139"/>
      <c r="I10" s="140"/>
      <c r="J10" s="141" t="str">
        <f>HLOOKUP($N$3,Translations,43,0)</f>
        <v xml:space="preserve">Single Part No.: </v>
      </c>
      <c r="K10" s="138"/>
      <c r="L10" s="139"/>
      <c r="M10" s="139"/>
      <c r="N10" s="139"/>
      <c r="O10" s="139"/>
      <c r="P10" s="142"/>
      <c r="R10" s="63"/>
      <c r="S10" s="64"/>
    </row>
    <row r="11" spans="2:19" ht="5.25" customHeight="1" thickBot="1">
      <c r="D11" s="15"/>
      <c r="F11" s="1"/>
      <c r="G11" s="15"/>
      <c r="H11" s="15"/>
      <c r="L11" s="1"/>
      <c r="M11" s="1"/>
    </row>
    <row r="12" spans="2:19">
      <c r="B12" s="192" t="str">
        <f>HLOOKUP($N$3,Translations,17,0)</f>
        <v xml:space="preserve">issue dated: </v>
      </c>
      <c r="C12" s="193"/>
      <c r="D12" s="193"/>
      <c r="E12" s="197"/>
      <c r="F12" s="198"/>
      <c r="G12" s="28" t="str">
        <f>HLOOKUP($N$3,Translations,20,0)</f>
        <v>Document no</v>
      </c>
      <c r="H12" s="122"/>
      <c r="I12" s="123"/>
      <c r="J12" s="69" t="str">
        <f>HLOOKUP($N$3,Translations,22,0)</f>
        <v xml:space="preserve">Work station: </v>
      </c>
      <c r="K12" s="148"/>
      <c r="L12" s="122"/>
      <c r="M12" s="122"/>
      <c r="N12" s="122"/>
      <c r="O12" s="122"/>
      <c r="P12" s="123"/>
    </row>
    <row r="13" spans="2:19" ht="13.5" thickBot="1">
      <c r="B13" s="151" t="str">
        <f>HLOOKUP($N$3,Translations,18,0)</f>
        <v xml:space="preserve">Name/Dept.: </v>
      </c>
      <c r="C13" s="152"/>
      <c r="D13" s="152"/>
      <c r="E13" s="124"/>
      <c r="F13" s="125"/>
      <c r="G13" s="70" t="str">
        <f>HLOOKUP($N$3,Translations,21,0)</f>
        <v xml:space="preserve">Schedule date: </v>
      </c>
      <c r="H13" s="124"/>
      <c r="I13" s="125"/>
      <c r="J13" s="37"/>
      <c r="K13" s="149"/>
      <c r="L13" s="149"/>
      <c r="M13" s="149"/>
      <c r="N13" s="149"/>
      <c r="O13" s="149"/>
      <c r="P13" s="150"/>
    </row>
    <row r="14" spans="2:19" ht="5.25" customHeight="1" thickBot="1">
      <c r="B14" s="5"/>
      <c r="C14" s="6"/>
      <c r="D14" s="34"/>
      <c r="E14" s="34"/>
      <c r="F14" s="6"/>
      <c r="G14" s="34"/>
      <c r="H14" s="34"/>
      <c r="I14" s="34"/>
      <c r="J14" s="34"/>
      <c r="K14" s="34"/>
      <c r="L14" s="6"/>
      <c r="M14" s="6"/>
      <c r="N14" s="6"/>
      <c r="O14" s="6"/>
      <c r="P14" s="7"/>
    </row>
    <row r="15" spans="2:19" s="14" customFormat="1">
      <c r="B15" s="187" t="str">
        <f>HLOOKUP($N$3,Translations,23,0)</f>
        <v>Item No.</v>
      </c>
      <c r="C15" s="174"/>
      <c r="D15" s="183" t="str">
        <f>HLOOKUP($N$3,Translations,24,0)</f>
        <v>Modification</v>
      </c>
      <c r="E15" s="184"/>
      <c r="F15" s="184"/>
      <c r="G15" s="185"/>
      <c r="H15" s="26" t="str">
        <f>HLOOKUP($N$3,Translations,25,0)</f>
        <v>Date</v>
      </c>
      <c r="I15" s="29" t="str">
        <f>HLOOKUP($N$3,Translations,26,0)</f>
        <v>Name/Dept.</v>
      </c>
      <c r="J15" s="27" t="str">
        <f>HLOOKUP($N$3,Translations,23,0)</f>
        <v>Item No.</v>
      </c>
      <c r="K15" s="174" t="str">
        <f>HLOOKUP($N$3,Translations,24,0)</f>
        <v>Modification</v>
      </c>
      <c r="L15" s="174"/>
      <c r="M15" s="174"/>
      <c r="N15" s="26" t="str">
        <f>HLOOKUP($N$3,Translations,25,0)</f>
        <v>Date</v>
      </c>
      <c r="O15" s="174" t="str">
        <f>HLOOKUP($N$3,Translations,26,0)</f>
        <v>Name/Dept.</v>
      </c>
      <c r="P15" s="175"/>
    </row>
    <row r="16" spans="2:19">
      <c r="B16" s="189"/>
      <c r="C16" s="186"/>
      <c r="D16" s="171"/>
      <c r="E16" s="172"/>
      <c r="F16" s="172"/>
      <c r="G16" s="173"/>
      <c r="H16" s="30"/>
      <c r="I16" s="19"/>
      <c r="J16" s="33"/>
      <c r="K16" s="186"/>
      <c r="L16" s="186"/>
      <c r="M16" s="186"/>
      <c r="N16" s="30"/>
      <c r="O16" s="186"/>
      <c r="P16" s="194"/>
    </row>
    <row r="17" spans="2:16" ht="13.5" thickBot="1">
      <c r="B17" s="188"/>
      <c r="C17" s="169"/>
      <c r="D17" s="176"/>
      <c r="E17" s="177"/>
      <c r="F17" s="177"/>
      <c r="G17" s="178"/>
      <c r="H17" s="32"/>
      <c r="I17" s="20"/>
      <c r="J17" s="31"/>
      <c r="K17" s="169"/>
      <c r="L17" s="169"/>
      <c r="M17" s="169"/>
      <c r="N17" s="32"/>
      <c r="O17" s="169"/>
      <c r="P17" s="170"/>
    </row>
    <row r="18" spans="2:16" ht="15" customHeight="1">
      <c r="B18" s="114" t="str">
        <f>HLOOKUP($N$3,Translations,27,0)</f>
        <v>Item</v>
      </c>
      <c r="C18" s="115"/>
      <c r="D18" s="52" t="str">
        <f>HLOOKUP($N$3,Translations,28,0)</f>
        <v>C</v>
      </c>
      <c r="E18" s="52" t="str">
        <f>HLOOKUP($N$3,Translations,29,0)</f>
        <v>D (class)</v>
      </c>
      <c r="F18" s="143" t="str">
        <f>HLOOKUP($N$3,Translations,30,0)</f>
        <v>Description</v>
      </c>
      <c r="G18" s="145"/>
      <c r="H18" s="145"/>
      <c r="I18" s="145"/>
      <c r="J18" s="145"/>
      <c r="K18" s="145"/>
      <c r="L18" s="74"/>
      <c r="M18" s="146" t="str">
        <f>HLOOKUP($N$3,Translations,31,0)</f>
        <v>Test level / equipment</v>
      </c>
      <c r="N18" s="147"/>
      <c r="O18" s="143" t="str">
        <f>HLOOKUP($N$3,Translations,32,0)</f>
        <v>Responsible</v>
      </c>
      <c r="P18" s="144"/>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157"/>
      <c r="C28" s="158"/>
      <c r="D28" s="46"/>
      <c r="E28" s="46"/>
      <c r="F28" s="165"/>
      <c r="G28" s="166"/>
      <c r="H28" s="166"/>
      <c r="I28" s="166"/>
      <c r="J28" s="166"/>
      <c r="K28" s="166"/>
      <c r="L28" s="167"/>
      <c r="M28" s="179"/>
      <c r="N28" s="180"/>
      <c r="O28" s="181"/>
      <c r="P28" s="182"/>
    </row>
    <row r="29" spans="2:16" ht="15" customHeight="1">
      <c r="B29" s="75"/>
      <c r="C29" s="76"/>
      <c r="D29" s="46"/>
      <c r="E29" s="46"/>
      <c r="F29" s="77"/>
      <c r="G29" s="78"/>
      <c r="H29" s="78"/>
      <c r="I29" s="78"/>
      <c r="J29" s="78"/>
      <c r="K29" s="78"/>
      <c r="L29" s="79"/>
      <c r="M29" s="80"/>
      <c r="N29" s="81"/>
      <c r="O29" s="82"/>
      <c r="P29" s="83"/>
    </row>
    <row r="30" spans="2:16" ht="15" customHeight="1">
      <c r="B30" s="75"/>
      <c r="C30" s="76"/>
      <c r="D30" s="46"/>
      <c r="E30" s="46"/>
      <c r="F30" s="77"/>
      <c r="G30" s="78"/>
      <c r="H30" s="78"/>
      <c r="I30" s="78"/>
      <c r="J30" s="78"/>
      <c r="K30" s="78"/>
      <c r="L30" s="79"/>
      <c r="M30" s="80"/>
      <c r="N30" s="81"/>
      <c r="O30" s="82"/>
      <c r="P30" s="83"/>
    </row>
    <row r="31" spans="2:16" ht="15" customHeight="1">
      <c r="B31" s="75"/>
      <c r="C31" s="76"/>
      <c r="D31" s="46"/>
      <c r="E31" s="46"/>
      <c r="F31" s="77"/>
      <c r="G31" s="78"/>
      <c r="H31" s="78"/>
      <c r="I31" s="78"/>
      <c r="J31" s="78"/>
      <c r="K31" s="78"/>
      <c r="L31" s="79"/>
      <c r="M31" s="80"/>
      <c r="N31" s="81"/>
      <c r="O31" s="82"/>
      <c r="P31" s="83"/>
    </row>
    <row r="32" spans="2:16" ht="15" customHeight="1">
      <c r="B32" s="164"/>
      <c r="C32" s="158"/>
      <c r="D32" s="46"/>
      <c r="E32" s="46"/>
      <c r="F32" s="168"/>
      <c r="G32" s="166"/>
      <c r="H32" s="166"/>
      <c r="I32" s="166"/>
      <c r="J32" s="166"/>
      <c r="K32" s="166"/>
      <c r="L32" s="167"/>
      <c r="M32" s="179"/>
      <c r="N32" s="180"/>
      <c r="O32" s="116"/>
      <c r="P32" s="182"/>
    </row>
    <row r="33" spans="2:16" ht="15" customHeight="1">
      <c r="B33" s="157"/>
      <c r="C33" s="158"/>
      <c r="D33" s="46"/>
      <c r="E33" s="46"/>
      <c r="F33" s="203"/>
      <c r="G33" s="204"/>
      <c r="H33" s="204"/>
      <c r="I33" s="204"/>
      <c r="J33" s="204"/>
      <c r="K33" s="204"/>
      <c r="L33" s="180"/>
      <c r="M33" s="116"/>
      <c r="N33" s="117"/>
      <c r="O33" s="116"/>
      <c r="P33" s="182"/>
    </row>
    <row r="34" spans="2:16" ht="15" customHeight="1">
      <c r="B34" s="75"/>
      <c r="C34" s="76"/>
      <c r="D34" s="46"/>
      <c r="E34" s="46"/>
      <c r="F34" s="84"/>
      <c r="G34" s="15"/>
      <c r="H34" s="15"/>
      <c r="L34" s="81"/>
      <c r="M34" s="71"/>
      <c r="N34" s="72"/>
      <c r="O34" s="71"/>
      <c r="P34" s="83"/>
    </row>
    <row r="35" spans="2:16" ht="15" customHeight="1">
      <c r="B35" s="75"/>
      <c r="C35" s="76"/>
      <c r="D35" s="46"/>
      <c r="E35" s="46"/>
      <c r="F35" s="84"/>
      <c r="G35" s="15"/>
      <c r="H35" s="15"/>
      <c r="L35" s="81"/>
      <c r="M35" s="71"/>
      <c r="N35" s="72"/>
      <c r="O35" s="71"/>
      <c r="P35" s="83"/>
    </row>
    <row r="36" spans="2:16" ht="15" customHeight="1">
      <c r="B36" s="75"/>
      <c r="C36" s="76"/>
      <c r="D36" s="46"/>
      <c r="E36" s="46"/>
      <c r="F36" s="84"/>
      <c r="G36" s="15"/>
      <c r="H36" s="15"/>
      <c r="L36" s="81"/>
      <c r="M36" s="71"/>
      <c r="N36" s="72"/>
      <c r="O36" s="71"/>
      <c r="P36" s="83"/>
    </row>
    <row r="37" spans="2:16" ht="15" customHeight="1">
      <c r="B37" s="75"/>
      <c r="C37" s="76"/>
      <c r="D37" s="46"/>
      <c r="E37" s="46"/>
      <c r="F37" s="84"/>
      <c r="G37" s="15"/>
      <c r="H37" s="15"/>
      <c r="L37" s="81"/>
      <c r="M37" s="71"/>
      <c r="N37" s="72"/>
      <c r="O37" s="71"/>
      <c r="P37" s="83"/>
    </row>
    <row r="38" spans="2:16" ht="15" customHeight="1">
      <c r="B38" s="157"/>
      <c r="C38" s="158"/>
      <c r="D38" s="47"/>
      <c r="E38" s="48"/>
      <c r="F38" s="205"/>
      <c r="G38" s="206"/>
      <c r="H38" s="206"/>
      <c r="I38" s="206"/>
      <c r="J38" s="206"/>
      <c r="K38" s="206"/>
      <c r="L38" s="207"/>
      <c r="M38" s="128"/>
      <c r="N38" s="129"/>
      <c r="O38" s="181"/>
      <c r="P38" s="208"/>
    </row>
    <row r="39" spans="2:16" ht="15" customHeight="1">
      <c r="B39" s="75"/>
      <c r="C39" s="76"/>
      <c r="D39" s="47"/>
      <c r="E39" s="48"/>
      <c r="F39" s="85"/>
      <c r="G39" s="86"/>
      <c r="H39" s="86"/>
      <c r="I39" s="86"/>
      <c r="J39" s="86"/>
      <c r="K39" s="86"/>
      <c r="L39" s="87"/>
      <c r="M39" s="128"/>
      <c r="N39" s="129"/>
      <c r="O39" s="181"/>
      <c r="P39" s="208"/>
    </row>
    <row r="40" spans="2:16" ht="15" customHeight="1">
      <c r="B40" s="75"/>
      <c r="C40" s="76"/>
      <c r="D40" s="47"/>
      <c r="E40" s="48"/>
      <c r="F40" s="85"/>
      <c r="G40" s="86"/>
      <c r="H40" s="86"/>
      <c r="I40" s="86"/>
      <c r="J40" s="86"/>
      <c r="K40" s="86"/>
      <c r="L40" s="87"/>
      <c r="M40" s="128"/>
      <c r="N40" s="129"/>
      <c r="O40" s="181"/>
      <c r="P40" s="208"/>
    </row>
    <row r="41" spans="2:16" ht="15" customHeight="1">
      <c r="B41" s="164"/>
      <c r="C41" s="158"/>
      <c r="D41" s="47"/>
      <c r="E41" s="49"/>
      <c r="F41" s="168"/>
      <c r="G41" s="204"/>
      <c r="H41" s="204"/>
      <c r="I41" s="204"/>
      <c r="J41" s="204"/>
      <c r="K41" s="204"/>
      <c r="L41" s="180"/>
      <c r="M41" s="128"/>
      <c r="N41" s="129"/>
      <c r="O41" s="181"/>
      <c r="P41" s="208"/>
    </row>
    <row r="42" spans="2:16" ht="15" customHeight="1">
      <c r="B42" s="163"/>
      <c r="C42" s="156"/>
      <c r="D42" s="47"/>
      <c r="E42" s="47"/>
      <c r="F42" s="165"/>
      <c r="G42" s="204"/>
      <c r="H42" s="204"/>
      <c r="I42" s="204"/>
      <c r="J42" s="204"/>
      <c r="K42" s="204"/>
      <c r="L42" s="180"/>
      <c r="M42" s="128"/>
      <c r="N42" s="129"/>
      <c r="O42" s="181"/>
      <c r="P42" s="208"/>
    </row>
    <row r="43" spans="2:16" ht="15" customHeight="1">
      <c r="B43" s="155"/>
      <c r="C43" s="156"/>
      <c r="D43" s="46"/>
      <c r="E43" s="46"/>
      <c r="F43" s="84"/>
      <c r="G43" s="15"/>
      <c r="H43" s="15"/>
      <c r="L43" s="81"/>
      <c r="M43" s="116"/>
      <c r="N43" s="117"/>
      <c r="O43" s="71"/>
      <c r="P43" s="83"/>
    </row>
    <row r="44" spans="2:16" ht="15" customHeight="1">
      <c r="B44" s="157"/>
      <c r="C44" s="158"/>
      <c r="D44" s="46"/>
      <c r="E44" s="46"/>
      <c r="F44" s="84"/>
      <c r="G44" s="15"/>
      <c r="H44" s="15"/>
      <c r="L44" s="81"/>
      <c r="M44" s="116"/>
      <c r="N44" s="117"/>
      <c r="O44" s="71"/>
      <c r="P44" s="83"/>
    </row>
    <row r="45" spans="2:16" ht="15" customHeight="1" thickBot="1">
      <c r="B45" s="159"/>
      <c r="C45" s="160"/>
      <c r="D45" s="56"/>
      <c r="E45" s="56"/>
      <c r="F45" s="57"/>
      <c r="G45" s="54"/>
      <c r="H45" s="54"/>
      <c r="I45" s="54"/>
      <c r="J45" s="54"/>
      <c r="K45" s="54"/>
      <c r="L45" s="58"/>
      <c r="M45" s="118"/>
      <c r="N45" s="119"/>
      <c r="O45" s="73"/>
      <c r="P45" s="55"/>
    </row>
    <row r="46" spans="2:16" ht="12.95" customHeight="1" thickBot="1">
      <c r="B46" s="161" t="str">
        <f>HLOOKUP($N$3,Translations,33,0)</f>
        <v xml:space="preserve">Production: </v>
      </c>
      <c r="C46" s="162"/>
      <c r="D46" s="218"/>
      <c r="E46" s="218"/>
      <c r="F46" s="219"/>
      <c r="G46" s="53" t="str">
        <f>HLOOKUP($N$3,Translations,35,0)</f>
        <v xml:space="preserve">QM: </v>
      </c>
      <c r="H46" s="220"/>
      <c r="I46" s="220"/>
      <c r="J46" s="221"/>
      <c r="K46" s="153" t="str">
        <f>HLOOKUP($N$3,Translations,36,0)</f>
        <v xml:space="preserve">Replaces: </v>
      </c>
      <c r="L46" s="154"/>
      <c r="M46" s="214"/>
      <c r="N46" s="215"/>
      <c r="O46" s="214"/>
      <c r="P46" s="216"/>
    </row>
    <row r="47" spans="2:16" ht="12.95" customHeight="1" thickBot="1">
      <c r="B47" s="135" t="str">
        <f>HLOOKUP($N$3,Translations,34,0)</f>
        <v xml:space="preserve">Date: </v>
      </c>
      <c r="C47" s="136"/>
      <c r="D47" s="209"/>
      <c r="E47" s="209"/>
      <c r="F47" s="210"/>
      <c r="G47" s="67" t="str">
        <f>HLOOKUP($N$3,Translations,34,0)</f>
        <v xml:space="preserve">Date: </v>
      </c>
      <c r="H47" s="201"/>
      <c r="I47" s="201"/>
      <c r="J47" s="202"/>
      <c r="K47" s="217" t="str">
        <f>HLOOKUP($N$3,Translations,37,0)</f>
        <v xml:space="preserve">Distribution: </v>
      </c>
      <c r="L47" s="136"/>
      <c r="M47" s="211"/>
      <c r="N47" s="212"/>
      <c r="O47" s="211"/>
      <c r="P47" s="213"/>
    </row>
    <row r="48" spans="2:16">
      <c r="B48" s="114" t="str">
        <f>HLOOKUP($N$3,Translations,27,0)</f>
        <v>Item</v>
      </c>
      <c r="C48" s="115"/>
      <c r="D48" s="99" t="str">
        <f>HLOOKUP($N$3,Translations,28,0)</f>
        <v>C</v>
      </c>
      <c r="E48" s="99" t="str">
        <f>HLOOKUP($N$3,Translations,29,0)</f>
        <v>D (class)</v>
      </c>
      <c r="F48" s="100" t="str">
        <f>HLOOKUP($N$3,Translations,30,0)</f>
        <v>Description</v>
      </c>
      <c r="G48" s="101"/>
      <c r="H48" s="101"/>
      <c r="I48" s="101"/>
      <c r="J48" s="101"/>
      <c r="K48" s="101"/>
      <c r="L48" s="98"/>
      <c r="M48" s="100" t="str">
        <f>HLOOKUP($N$3,Translations,31,0)</f>
        <v>Test level / equipment</v>
      </c>
      <c r="N48" s="98"/>
      <c r="O48" s="100" t="str">
        <f>HLOOKUP($N$3,Translations,32,0)</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80">
    <mergeCell ref="H47:J47"/>
    <mergeCell ref="M33:N33"/>
    <mergeCell ref="O33:P33"/>
    <mergeCell ref="M32:N32"/>
    <mergeCell ref="O32:P32"/>
    <mergeCell ref="F33:L33"/>
    <mergeCell ref="F42:L42"/>
    <mergeCell ref="F38:L38"/>
    <mergeCell ref="F41:L41"/>
    <mergeCell ref="O38:P42"/>
    <mergeCell ref="D47:F47"/>
    <mergeCell ref="M47:P47"/>
    <mergeCell ref="M46:P46"/>
    <mergeCell ref="K47:L47"/>
    <mergeCell ref="D46:F46"/>
    <mergeCell ref="H46:J46"/>
    <mergeCell ref="C6:D6"/>
    <mergeCell ref="K15:M15"/>
    <mergeCell ref="B12:D12"/>
    <mergeCell ref="C8:D8"/>
    <mergeCell ref="O16:P16"/>
    <mergeCell ref="E6:F6"/>
    <mergeCell ref="E12:F12"/>
    <mergeCell ref="E13:F13"/>
    <mergeCell ref="E8:F8"/>
    <mergeCell ref="K6:M6"/>
    <mergeCell ref="K8:M8"/>
    <mergeCell ref="O17:P17"/>
    <mergeCell ref="D16:G16"/>
    <mergeCell ref="O15:P15"/>
    <mergeCell ref="D17:G17"/>
    <mergeCell ref="B28:C28"/>
    <mergeCell ref="M28:N28"/>
    <mergeCell ref="O28:P28"/>
    <mergeCell ref="D15:G15"/>
    <mergeCell ref="K16:M16"/>
    <mergeCell ref="K17:M17"/>
    <mergeCell ref="B15:C15"/>
    <mergeCell ref="B17:C17"/>
    <mergeCell ref="B16:C16"/>
    <mergeCell ref="B46:C46"/>
    <mergeCell ref="B42:C42"/>
    <mergeCell ref="B41:C41"/>
    <mergeCell ref="B38:C38"/>
    <mergeCell ref="F28:L28"/>
    <mergeCell ref="F32:L32"/>
    <mergeCell ref="B33:C33"/>
    <mergeCell ref="B32:C32"/>
    <mergeCell ref="B47:C47"/>
    <mergeCell ref="B10:E10"/>
    <mergeCell ref="F10:I10"/>
    <mergeCell ref="J10:K10"/>
    <mergeCell ref="L10:P10"/>
    <mergeCell ref="O18:P18"/>
    <mergeCell ref="B18:C18"/>
    <mergeCell ref="F18:K18"/>
    <mergeCell ref="M18:N18"/>
    <mergeCell ref="K12:P12"/>
    <mergeCell ref="K13:P13"/>
    <mergeCell ref="B13:D13"/>
    <mergeCell ref="K46:L46"/>
    <mergeCell ref="B43:C43"/>
    <mergeCell ref="B44:C44"/>
    <mergeCell ref="B45:C45"/>
    <mergeCell ref="B48:C48"/>
    <mergeCell ref="M43:N43"/>
    <mergeCell ref="M44:N44"/>
    <mergeCell ref="M45:N45"/>
    <mergeCell ref="H3:I3"/>
    <mergeCell ref="H12:I12"/>
    <mergeCell ref="H13:I13"/>
    <mergeCell ref="K3:L3"/>
    <mergeCell ref="M38:N38"/>
    <mergeCell ref="M39:N39"/>
    <mergeCell ref="M40:N40"/>
    <mergeCell ref="M41:N41"/>
    <mergeCell ref="C3:F3"/>
    <mergeCell ref="H6:I6"/>
    <mergeCell ref="H8:I8"/>
    <mergeCell ref="M42:N42"/>
  </mergeCells>
  <phoneticPr fontId="5" type="noConversion"/>
  <conditionalFormatting sqref="S8">
    <cfRule type="containsText" dxfId="3" priority="1" operator="containsText" text="OFF">
      <formula>NOT(ISERROR(SEARCH("OFF",S8)))</formula>
    </cfRule>
    <cfRule type="containsText" dxfId="2" priority="2" operator="containsText" text="ON">
      <formula>NOT(ISERROR(SEARCH("ON",S8)))</formula>
    </cfRule>
  </conditionalFormatting>
  <dataValidations count="6">
    <dataValidation type="list" allowBlank="1" showInputMessage="1" showErrorMessage="1" sqref="N3" xr:uid="{00000000-0002-0000-0000-000000000000}">
      <formula1>Sprache</formula1>
    </dataValidation>
    <dataValidation type="list" allowBlank="1" showInputMessage="1" showErrorMessage="1" sqref="O8" xr:uid="{00000000-0002-0000-0000-000001000000}">
      <formula1>Productgroup</formula1>
    </dataValidation>
    <dataValidation type="list" allowBlank="1" showInputMessage="1" showErrorMessage="1" sqref="N4:O4 O6" xr:uid="{00000000-0002-0000-0000-000002000000}">
      <formula1>DmbA</formula1>
    </dataValidation>
    <dataValidation type="list" allowBlank="1" showInputMessage="1" showErrorMessage="1" sqref="S8" xr:uid="{00000000-0002-0000-0000-000003000000}">
      <formula1>"ON, OFF"</formula1>
    </dataValidation>
    <dataValidation type="list" allowBlank="1" showInputMessage="1" showErrorMessage="1" sqref="U10" xr:uid="{00000000-0002-0000-0000-000004000000}">
      <formula1>$U$4</formula1>
    </dataValidation>
    <dataValidation type="list" allowBlank="1" showInputMessage="1" showErrorMessage="1" sqref="S6" xr:uid="{00000000-0002-0000-0000-000005000000}">
      <formula1>"1,2,3,4,5,6,7,8,9,10,11,12,13,14,15,16,17,18,19,20"</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May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941E7-39D3-49DD-A353-34C5C04ACC97}">
  <sheetPr codeName="Tabelle3">
    <pageSetUpPr fitToPage="1"/>
  </sheetPr>
  <dimension ref="B1:S722"/>
  <sheetViews>
    <sheetView showGridLines="0" view="pageBreakPreview" zoomScale="115" zoomScaleNormal="85" zoomScaleSheetLayoutView="115" workbookViewId="0">
      <selection activeCell="O19" sqref="O19"/>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30" t="str">
        <f>HLOOKUP($N$3,Translations,2)</f>
        <v>Working and Test Instruction</v>
      </c>
      <c r="D3" s="130"/>
      <c r="E3" s="130"/>
      <c r="F3" s="130"/>
      <c r="G3" s="25" t="str">
        <f>HLOOKUP($N$3,Translations,7)</f>
        <v xml:space="preserve">Project: </v>
      </c>
      <c r="H3" s="120"/>
      <c r="I3" s="121"/>
      <c r="J3" s="25" t="s">
        <v>182</v>
      </c>
      <c r="K3" s="126"/>
      <c r="L3" s="127"/>
      <c r="M3" s="25" t="str">
        <f>HLOOKUP($N$3,Translations,16)</f>
        <v xml:space="preserve">language: </v>
      </c>
      <c r="N3" s="111" t="s">
        <v>13</v>
      </c>
      <c r="P3" s="36"/>
      <c r="R3" s="61" t="str">
        <f>HLOOKUP($N$3,Translations,45)</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90" t="str">
        <f>HLOOKUP($N$3,Translations,4)</f>
        <v>OEM:</v>
      </c>
      <c r="D6" s="191"/>
      <c r="E6" s="195"/>
      <c r="F6" s="196"/>
      <c r="G6" s="25" t="str">
        <f>HLOOKUP($N$3,Translations,6)</f>
        <v xml:space="preserve">Part No. OEM: </v>
      </c>
      <c r="H6" s="131"/>
      <c r="I6" s="132"/>
      <c r="J6" s="25" t="str">
        <f>HLOOKUP($N$3,Translations,8)</f>
        <v xml:space="preserve">DIS: </v>
      </c>
      <c r="K6" s="126"/>
      <c r="L6" s="172"/>
      <c r="M6" s="173"/>
      <c r="N6" s="25" t="str">
        <f>HLOOKUP($N$3,Translations,11)</f>
        <v xml:space="preserve">DmbA: </v>
      </c>
      <c r="O6" s="112" t="s">
        <v>3</v>
      </c>
      <c r="P6" s="17"/>
      <c r="R6" s="59" t="str">
        <f>HLOOKUP($N$3,Translations,46)</f>
        <v>Pages</v>
      </c>
      <c r="S6" s="66">
        <v>2</v>
      </c>
    </row>
    <row r="7" spans="2:19" ht="5.0999999999999996" customHeight="1">
      <c r="B7" s="39"/>
      <c r="E7" s="1"/>
      <c r="F7" s="1"/>
      <c r="G7" s="35"/>
      <c r="H7" s="14"/>
      <c r="I7" s="14"/>
      <c r="J7" s="35"/>
      <c r="P7" s="36"/>
      <c r="R7" s="39"/>
      <c r="S7" s="36"/>
    </row>
    <row r="8" spans="2:19" ht="12.75" customHeight="1" thickBot="1">
      <c r="B8" s="39"/>
      <c r="C8" s="190" t="str">
        <f>HLOOKUP($N$3,Translations,3)</f>
        <v xml:space="preserve">Part name: </v>
      </c>
      <c r="D8" s="191"/>
      <c r="E8" s="199"/>
      <c r="F8" s="200"/>
      <c r="G8" s="25" t="str">
        <f>HLOOKUP($N$3,Translations,5)</f>
        <v xml:space="preserve">Model / Variant: </v>
      </c>
      <c r="H8" s="133"/>
      <c r="I8" s="134"/>
      <c r="J8" s="25" t="str">
        <f>HLOOKUP($N$3,Translations,9)</f>
        <v xml:space="preserve">BAT-Material: </v>
      </c>
      <c r="K8" s="171"/>
      <c r="L8" s="172"/>
      <c r="M8" s="173"/>
      <c r="N8" s="25" t="str">
        <f>HLOOKUP($N$3,Translations,10)</f>
        <v xml:space="preserve">Productgroup: </v>
      </c>
      <c r="O8" s="113"/>
      <c r="P8" s="36"/>
      <c r="R8" s="60" t="str">
        <f>HLOOKUP($N$3,Translations,45)</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37" t="str">
        <f>HLOOKUP($N$3,Translations,42)</f>
        <v xml:space="preserve">Single Part description: </v>
      </c>
      <c r="C10" s="138"/>
      <c r="D10" s="138"/>
      <c r="E10" s="138"/>
      <c r="F10" s="139"/>
      <c r="G10" s="139"/>
      <c r="H10" s="139"/>
      <c r="I10" s="140"/>
      <c r="J10" s="141" t="str">
        <f>HLOOKUP($N$3,Translations,43)</f>
        <v xml:space="preserve">Single Part No.: </v>
      </c>
      <c r="K10" s="138"/>
      <c r="L10" s="139"/>
      <c r="M10" s="139"/>
      <c r="N10" s="139"/>
      <c r="O10" s="139"/>
      <c r="P10" s="142"/>
      <c r="R10" s="63"/>
      <c r="S10" s="64"/>
    </row>
    <row r="11" spans="2:19" ht="5.25" customHeight="1" thickBot="1">
      <c r="D11" s="15"/>
      <c r="F11" s="1"/>
      <c r="G11" s="15"/>
      <c r="H11" s="15"/>
      <c r="L11" s="1"/>
      <c r="M11" s="1"/>
    </row>
    <row r="12" spans="2:19">
      <c r="B12" s="192" t="str">
        <f>HLOOKUP($N$3,Translations,17)</f>
        <v xml:space="preserve">issue dated: </v>
      </c>
      <c r="C12" s="193"/>
      <c r="D12" s="193"/>
      <c r="E12" s="197"/>
      <c r="F12" s="198"/>
      <c r="G12" s="28" t="str">
        <f>HLOOKUP($N$3,Translations,20)</f>
        <v>Document no</v>
      </c>
      <c r="H12" s="122"/>
      <c r="I12" s="123"/>
      <c r="J12" s="69" t="str">
        <f>HLOOKUP($N$3,Translations,22)</f>
        <v xml:space="preserve">Work station: </v>
      </c>
      <c r="K12" s="148"/>
      <c r="L12" s="122"/>
      <c r="M12" s="122"/>
      <c r="N12" s="122"/>
      <c r="O12" s="122"/>
      <c r="P12" s="123"/>
    </row>
    <row r="13" spans="2:19" ht="13.5" thickBot="1">
      <c r="B13" s="151" t="str">
        <f>HLOOKUP($N$3,Translations,18)</f>
        <v xml:space="preserve">Name/Dept.: </v>
      </c>
      <c r="C13" s="152"/>
      <c r="D13" s="152"/>
      <c r="E13" s="124"/>
      <c r="F13" s="125"/>
      <c r="G13" s="70" t="str">
        <f>HLOOKUP($N$3,Translations,21)</f>
        <v xml:space="preserve">Schedule date: </v>
      </c>
      <c r="H13" s="124"/>
      <c r="I13" s="125"/>
      <c r="J13" s="37"/>
      <c r="K13" s="149"/>
      <c r="L13" s="149"/>
      <c r="M13" s="149"/>
      <c r="N13" s="149"/>
      <c r="O13" s="149"/>
      <c r="P13" s="150"/>
    </row>
    <row r="14" spans="2:19" ht="5.25" customHeight="1" thickBot="1">
      <c r="B14" s="5"/>
      <c r="C14" s="6"/>
      <c r="D14" s="34"/>
      <c r="E14" s="34"/>
      <c r="F14" s="6"/>
      <c r="G14" s="34"/>
      <c r="H14" s="34"/>
      <c r="I14" s="34"/>
      <c r="J14" s="34"/>
      <c r="K14" s="34"/>
      <c r="L14" s="6"/>
      <c r="M14" s="6"/>
      <c r="N14" s="6"/>
      <c r="O14" s="6"/>
      <c r="P14" s="7"/>
    </row>
    <row r="15" spans="2:19" s="14" customFormat="1">
      <c r="B15" s="187" t="str">
        <f>HLOOKUP($N$3,Translations,23)</f>
        <v>Item No.</v>
      </c>
      <c r="C15" s="174"/>
      <c r="D15" s="183" t="str">
        <f>HLOOKUP($N$3,Translations,24)</f>
        <v>Modification</v>
      </c>
      <c r="E15" s="184"/>
      <c r="F15" s="184"/>
      <c r="G15" s="185"/>
      <c r="H15" s="26" t="str">
        <f>HLOOKUP($N$3,Translations,25)</f>
        <v>Date</v>
      </c>
      <c r="I15" s="29" t="str">
        <f>HLOOKUP($N$3,Translations,26)</f>
        <v>Name/Dept.</v>
      </c>
      <c r="J15" s="27" t="str">
        <f>HLOOKUP($N$3,Translations,23)</f>
        <v>Item No.</v>
      </c>
      <c r="K15" s="174" t="str">
        <f>HLOOKUP($N$3,Translations,24)</f>
        <v>Modification</v>
      </c>
      <c r="L15" s="174"/>
      <c r="M15" s="174"/>
      <c r="N15" s="26" t="str">
        <f>HLOOKUP($N$3,Translations,25)</f>
        <v>Date</v>
      </c>
      <c r="O15" s="174" t="str">
        <f>HLOOKUP($N$3,Translations,26)</f>
        <v>Name/Dept.</v>
      </c>
      <c r="P15" s="175"/>
    </row>
    <row r="16" spans="2:19">
      <c r="B16" s="189"/>
      <c r="C16" s="186"/>
      <c r="D16" s="171"/>
      <c r="E16" s="172"/>
      <c r="F16" s="172"/>
      <c r="G16" s="173"/>
      <c r="H16" s="30"/>
      <c r="I16" s="19"/>
      <c r="J16" s="33"/>
      <c r="K16" s="186"/>
      <c r="L16" s="186"/>
      <c r="M16" s="186"/>
      <c r="N16" s="30"/>
      <c r="O16" s="186"/>
      <c r="P16" s="194"/>
    </row>
    <row r="17" spans="2:16" ht="13.5" thickBot="1">
      <c r="B17" s="188"/>
      <c r="C17" s="169"/>
      <c r="D17" s="176"/>
      <c r="E17" s="177"/>
      <c r="F17" s="177"/>
      <c r="G17" s="178"/>
      <c r="H17" s="32"/>
      <c r="I17" s="20"/>
      <c r="J17" s="31"/>
      <c r="K17" s="169"/>
      <c r="L17" s="169"/>
      <c r="M17" s="169"/>
      <c r="N17" s="32"/>
      <c r="O17" s="169"/>
      <c r="P17" s="170"/>
    </row>
    <row r="18" spans="2:16" ht="15" customHeight="1">
      <c r="B18" s="114" t="str">
        <f>HLOOKUP($N$3,Translations,27)</f>
        <v>Item</v>
      </c>
      <c r="C18" s="115"/>
      <c r="D18" s="52" t="str">
        <f>HLOOKUP($N$3,Translations,28)</f>
        <v>C</v>
      </c>
      <c r="E18" s="52" t="str">
        <f>HLOOKUP($N$3,Translations,29)</f>
        <v>D (class)</v>
      </c>
      <c r="F18" s="143" t="str">
        <f>HLOOKUP($N$3,Translations,30)</f>
        <v>Description</v>
      </c>
      <c r="G18" s="145"/>
      <c r="H18" s="145"/>
      <c r="I18" s="145"/>
      <c r="J18" s="145"/>
      <c r="K18" s="145"/>
      <c r="L18" s="74"/>
      <c r="M18" s="146" t="str">
        <f>HLOOKUP($N$3,Translations,31)</f>
        <v>Test level / equipment</v>
      </c>
      <c r="N18" s="147"/>
      <c r="O18" s="143" t="str">
        <f>HLOOKUP($N$3,Translations,32)</f>
        <v>Responsible</v>
      </c>
      <c r="P18" s="144"/>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157"/>
      <c r="C28" s="158"/>
      <c r="D28" s="46"/>
      <c r="E28" s="46"/>
      <c r="F28" s="165"/>
      <c r="G28" s="166"/>
      <c r="H28" s="166"/>
      <c r="I28" s="166"/>
      <c r="J28" s="166"/>
      <c r="K28" s="166"/>
      <c r="L28" s="167"/>
      <c r="M28" s="179"/>
      <c r="N28" s="180"/>
      <c r="O28" s="181"/>
      <c r="P28" s="182"/>
    </row>
    <row r="29" spans="2:16" ht="15" customHeight="1">
      <c r="B29" s="75"/>
      <c r="C29" s="76"/>
      <c r="D29" s="46"/>
      <c r="E29" s="46"/>
      <c r="F29" s="77"/>
      <c r="G29" s="78"/>
      <c r="H29" s="78"/>
      <c r="I29" s="78"/>
      <c r="J29" s="78"/>
      <c r="K29" s="78"/>
      <c r="L29" s="79"/>
      <c r="M29" s="80"/>
      <c r="N29" s="81"/>
      <c r="O29" s="82"/>
      <c r="P29" s="83"/>
    </row>
    <row r="30" spans="2:16" ht="15" customHeight="1">
      <c r="B30" s="75"/>
      <c r="C30" s="76"/>
      <c r="D30" s="46"/>
      <c r="E30" s="46"/>
      <c r="F30" s="77"/>
      <c r="G30" s="78"/>
      <c r="H30" s="78"/>
      <c r="I30" s="78"/>
      <c r="J30" s="78"/>
      <c r="K30" s="78"/>
      <c r="L30" s="79"/>
      <c r="M30" s="80"/>
      <c r="N30" s="81"/>
      <c r="O30" s="82"/>
      <c r="P30" s="83"/>
    </row>
    <row r="31" spans="2:16" ht="15" customHeight="1">
      <c r="B31" s="75"/>
      <c r="C31" s="76"/>
      <c r="D31" s="46"/>
      <c r="E31" s="46"/>
      <c r="F31" s="77"/>
      <c r="G31" s="78"/>
      <c r="H31" s="78"/>
      <c r="I31" s="78"/>
      <c r="J31" s="78"/>
      <c r="K31" s="78"/>
      <c r="L31" s="79"/>
      <c r="M31" s="80"/>
      <c r="N31" s="81"/>
      <c r="O31" s="82"/>
      <c r="P31" s="83"/>
    </row>
    <row r="32" spans="2:16" ht="15" customHeight="1">
      <c r="B32" s="164"/>
      <c r="C32" s="158"/>
      <c r="D32" s="46"/>
      <c r="E32" s="46"/>
      <c r="F32" s="168"/>
      <c r="G32" s="166"/>
      <c r="H32" s="166"/>
      <c r="I32" s="166"/>
      <c r="J32" s="166"/>
      <c r="K32" s="166"/>
      <c r="L32" s="167"/>
      <c r="M32" s="179"/>
      <c r="N32" s="180"/>
      <c r="O32" s="116"/>
      <c r="P32" s="182"/>
    </row>
    <row r="33" spans="2:16" ht="15" customHeight="1">
      <c r="B33" s="157"/>
      <c r="C33" s="158"/>
      <c r="D33" s="46"/>
      <c r="E33" s="46"/>
      <c r="F33" s="203"/>
      <c r="G33" s="204"/>
      <c r="H33" s="204"/>
      <c r="I33" s="204"/>
      <c r="J33" s="204"/>
      <c r="K33" s="204"/>
      <c r="L33" s="180"/>
      <c r="M33" s="116"/>
      <c r="N33" s="117"/>
      <c r="O33" s="116"/>
      <c r="P33" s="182"/>
    </row>
    <row r="34" spans="2:16" ht="15" customHeight="1">
      <c r="B34" s="75"/>
      <c r="C34" s="76"/>
      <c r="D34" s="46"/>
      <c r="E34" s="46"/>
      <c r="F34" s="84"/>
      <c r="G34" s="15"/>
      <c r="H34" s="15"/>
      <c r="L34" s="81"/>
      <c r="M34" s="71"/>
      <c r="N34" s="72"/>
      <c r="O34" s="71"/>
      <c r="P34" s="83"/>
    </row>
    <row r="35" spans="2:16" ht="15" customHeight="1">
      <c r="B35" s="75"/>
      <c r="C35" s="76"/>
      <c r="D35" s="46"/>
      <c r="E35" s="46"/>
      <c r="F35" s="84"/>
      <c r="G35" s="15"/>
      <c r="H35" s="15"/>
      <c r="L35" s="81"/>
      <c r="M35" s="71"/>
      <c r="N35" s="72"/>
      <c r="O35" s="71"/>
      <c r="P35" s="83"/>
    </row>
    <row r="36" spans="2:16" ht="15" customHeight="1">
      <c r="B36" s="75"/>
      <c r="C36" s="76"/>
      <c r="D36" s="46"/>
      <c r="E36" s="46"/>
      <c r="F36" s="84"/>
      <c r="G36" s="15"/>
      <c r="H36" s="15"/>
      <c r="L36" s="81"/>
      <c r="M36" s="71"/>
      <c r="N36" s="72"/>
      <c r="O36" s="71"/>
      <c r="P36" s="83"/>
    </row>
    <row r="37" spans="2:16" ht="15" customHeight="1">
      <c r="B37" s="75"/>
      <c r="C37" s="76"/>
      <c r="D37" s="46"/>
      <c r="E37" s="46"/>
      <c r="F37" s="84"/>
      <c r="G37" s="15"/>
      <c r="H37" s="15"/>
      <c r="L37" s="81"/>
      <c r="M37" s="71"/>
      <c r="N37" s="72"/>
      <c r="O37" s="71"/>
      <c r="P37" s="83"/>
    </row>
    <row r="38" spans="2:16" ht="15" customHeight="1">
      <c r="B38" s="157"/>
      <c r="C38" s="158"/>
      <c r="D38" s="47"/>
      <c r="E38" s="48"/>
      <c r="F38" s="205"/>
      <c r="G38" s="206"/>
      <c r="H38" s="206"/>
      <c r="I38" s="206"/>
      <c r="J38" s="206"/>
      <c r="K38" s="206"/>
      <c r="L38" s="207"/>
      <c r="M38" s="128"/>
      <c r="N38" s="129"/>
      <c r="O38" s="181"/>
      <c r="P38" s="208"/>
    </row>
    <row r="39" spans="2:16" ht="15" customHeight="1">
      <c r="B39" s="75"/>
      <c r="C39" s="76"/>
      <c r="D39" s="47"/>
      <c r="E39" s="48"/>
      <c r="F39" s="85"/>
      <c r="G39" s="86"/>
      <c r="H39" s="86"/>
      <c r="I39" s="86"/>
      <c r="J39" s="86"/>
      <c r="K39" s="86"/>
      <c r="L39" s="87"/>
      <c r="M39" s="128"/>
      <c r="N39" s="129"/>
      <c r="O39" s="181"/>
      <c r="P39" s="208"/>
    </row>
    <row r="40" spans="2:16" ht="15" customHeight="1">
      <c r="B40" s="75"/>
      <c r="C40" s="76"/>
      <c r="D40" s="47"/>
      <c r="E40" s="48"/>
      <c r="F40" s="85"/>
      <c r="G40" s="86"/>
      <c r="H40" s="86"/>
      <c r="I40" s="86"/>
      <c r="J40" s="86"/>
      <c r="K40" s="86"/>
      <c r="L40" s="87"/>
      <c r="M40" s="128"/>
      <c r="N40" s="129"/>
      <c r="O40" s="181"/>
      <c r="P40" s="208"/>
    </row>
    <row r="41" spans="2:16" ht="15" customHeight="1">
      <c r="B41" s="164"/>
      <c r="C41" s="158"/>
      <c r="D41" s="47"/>
      <c r="E41" s="49"/>
      <c r="F41" s="168"/>
      <c r="G41" s="204"/>
      <c r="H41" s="204"/>
      <c r="I41" s="204"/>
      <c r="J41" s="204"/>
      <c r="K41" s="204"/>
      <c r="L41" s="180"/>
      <c r="M41" s="128"/>
      <c r="N41" s="129"/>
      <c r="O41" s="181"/>
      <c r="P41" s="208"/>
    </row>
    <row r="42" spans="2:16" ht="15" customHeight="1">
      <c r="B42" s="163"/>
      <c r="C42" s="156"/>
      <c r="D42" s="47"/>
      <c r="E42" s="47"/>
      <c r="F42" s="165"/>
      <c r="G42" s="204"/>
      <c r="H42" s="204"/>
      <c r="I42" s="204"/>
      <c r="J42" s="204"/>
      <c r="K42" s="204"/>
      <c r="L42" s="180"/>
      <c r="M42" s="128"/>
      <c r="N42" s="129"/>
      <c r="O42" s="181"/>
      <c r="P42" s="208"/>
    </row>
    <row r="43" spans="2:16" ht="15" customHeight="1">
      <c r="B43" s="155"/>
      <c r="C43" s="156"/>
      <c r="D43" s="46"/>
      <c r="E43" s="46"/>
      <c r="F43" s="84"/>
      <c r="G43" s="15"/>
      <c r="H43" s="15"/>
      <c r="L43" s="81"/>
      <c r="M43" s="116"/>
      <c r="N43" s="117"/>
      <c r="O43" s="71"/>
      <c r="P43" s="83"/>
    </row>
    <row r="44" spans="2:16" ht="15" customHeight="1">
      <c r="B44" s="157"/>
      <c r="C44" s="158"/>
      <c r="D44" s="46"/>
      <c r="E44" s="46"/>
      <c r="F44" s="84"/>
      <c r="G44" s="15"/>
      <c r="H44" s="15"/>
      <c r="L44" s="81"/>
      <c r="M44" s="116"/>
      <c r="N44" s="117"/>
      <c r="O44" s="71"/>
      <c r="P44" s="83"/>
    </row>
    <row r="45" spans="2:16" ht="15" customHeight="1" thickBot="1">
      <c r="B45" s="159"/>
      <c r="C45" s="160"/>
      <c r="D45" s="56"/>
      <c r="E45" s="56"/>
      <c r="F45" s="57"/>
      <c r="G45" s="54"/>
      <c r="H45" s="54"/>
      <c r="I45" s="54"/>
      <c r="J45" s="54"/>
      <c r="K45" s="54"/>
      <c r="L45" s="58"/>
      <c r="M45" s="118"/>
      <c r="N45" s="119"/>
      <c r="O45" s="73"/>
      <c r="P45" s="55"/>
    </row>
    <row r="46" spans="2:16" ht="12.95" customHeight="1" thickBot="1">
      <c r="B46" s="161" t="str">
        <f>HLOOKUP($N$3,Translations,33)</f>
        <v xml:space="preserve">Production: </v>
      </c>
      <c r="C46" s="162"/>
      <c r="D46" s="218"/>
      <c r="E46" s="218"/>
      <c r="F46" s="219"/>
      <c r="G46" s="53" t="str">
        <f>HLOOKUP($N$3,Translations,35)</f>
        <v xml:space="preserve">QM: </v>
      </c>
      <c r="H46" s="220"/>
      <c r="I46" s="220"/>
      <c r="J46" s="221"/>
      <c r="K46" s="153" t="str">
        <f>HLOOKUP($N$3,Translations,36)</f>
        <v xml:space="preserve">Replaces: </v>
      </c>
      <c r="L46" s="154"/>
      <c r="M46" s="214"/>
      <c r="N46" s="215"/>
      <c r="O46" s="214"/>
      <c r="P46" s="216"/>
    </row>
    <row r="47" spans="2:16" ht="12.95" customHeight="1" thickBot="1">
      <c r="B47" s="135" t="str">
        <f>HLOOKUP($N$3,Translations,34)</f>
        <v xml:space="preserve">Date: </v>
      </c>
      <c r="C47" s="136"/>
      <c r="D47" s="209"/>
      <c r="E47" s="209"/>
      <c r="F47" s="210"/>
      <c r="G47" s="67" t="str">
        <f>HLOOKUP($N$3,Translations,34)</f>
        <v xml:space="preserve">Date: </v>
      </c>
      <c r="H47" s="201"/>
      <c r="I47" s="201"/>
      <c r="J47" s="202"/>
      <c r="K47" s="217" t="str">
        <f>HLOOKUP($N$3,Translations,37)</f>
        <v xml:space="preserve">Distribution: </v>
      </c>
      <c r="L47" s="136"/>
      <c r="M47" s="211"/>
      <c r="N47" s="212"/>
      <c r="O47" s="211"/>
      <c r="P47" s="213"/>
    </row>
    <row r="48" spans="2:16">
      <c r="B48" s="97" t="str">
        <f>HLOOKUP($N$3,Translations,27)</f>
        <v>Item</v>
      </c>
      <c r="C48" s="98"/>
      <c r="D48" s="99" t="str">
        <f>HLOOKUP($N$3,Translations,28)</f>
        <v>C</v>
      </c>
      <c r="E48" s="99" t="str">
        <f>HLOOKUP($N$3,Translations,29)</f>
        <v>D (class)</v>
      </c>
      <c r="F48" s="100" t="str">
        <f>HLOOKUP($N$3,Translations,30)</f>
        <v>Description</v>
      </c>
      <c r="G48" s="101"/>
      <c r="H48" s="101"/>
      <c r="I48" s="101"/>
      <c r="J48" s="101"/>
      <c r="K48" s="101"/>
      <c r="L48" s="98"/>
      <c r="M48" s="100" t="str">
        <f>HLOOKUP($N$3,Translations,31)</f>
        <v>Test level / equipment</v>
      </c>
      <c r="N48" s="98"/>
      <c r="O48" s="100" t="str">
        <f>HLOOKUP($N$3,Translations,32)</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79">
    <mergeCell ref="C3:F3"/>
    <mergeCell ref="H3:I3"/>
    <mergeCell ref="K3:L3"/>
    <mergeCell ref="C6:D6"/>
    <mergeCell ref="E6:F6"/>
    <mergeCell ref="H6:I6"/>
    <mergeCell ref="K6:M6"/>
    <mergeCell ref="C8:D8"/>
    <mergeCell ref="E8:F8"/>
    <mergeCell ref="H8:I8"/>
    <mergeCell ref="K8:M8"/>
    <mergeCell ref="B10:E10"/>
    <mergeCell ref="F10:I10"/>
    <mergeCell ref="J10:K10"/>
    <mergeCell ref="L10:P10"/>
    <mergeCell ref="B12:D12"/>
    <mergeCell ref="E12:F12"/>
    <mergeCell ref="H12:I12"/>
    <mergeCell ref="K12:P12"/>
    <mergeCell ref="B13:D13"/>
    <mergeCell ref="E13:F13"/>
    <mergeCell ref="H13:I13"/>
    <mergeCell ref="K13:P13"/>
    <mergeCell ref="B15:C15"/>
    <mergeCell ref="D15:G15"/>
    <mergeCell ref="K15:M15"/>
    <mergeCell ref="O15:P15"/>
    <mergeCell ref="B16:C16"/>
    <mergeCell ref="D16:G16"/>
    <mergeCell ref="K16:M16"/>
    <mergeCell ref="O16:P16"/>
    <mergeCell ref="B17:C17"/>
    <mergeCell ref="D17:G17"/>
    <mergeCell ref="K17:M17"/>
    <mergeCell ref="O17:P17"/>
    <mergeCell ref="B18:C18"/>
    <mergeCell ref="F18:K18"/>
    <mergeCell ref="M18:N18"/>
    <mergeCell ref="O18:P18"/>
    <mergeCell ref="B28:C28"/>
    <mergeCell ref="F28:L28"/>
    <mergeCell ref="M28:N28"/>
    <mergeCell ref="O28:P28"/>
    <mergeCell ref="B32:C32"/>
    <mergeCell ref="F32:L32"/>
    <mergeCell ref="M32:N32"/>
    <mergeCell ref="O32:P32"/>
    <mergeCell ref="B33:C33"/>
    <mergeCell ref="F33:L33"/>
    <mergeCell ref="M33:N33"/>
    <mergeCell ref="O33:P33"/>
    <mergeCell ref="B38:C38"/>
    <mergeCell ref="F38:L38"/>
    <mergeCell ref="M38:N38"/>
    <mergeCell ref="O38:P42"/>
    <mergeCell ref="M39:N39"/>
    <mergeCell ref="M40:N40"/>
    <mergeCell ref="B41:C41"/>
    <mergeCell ref="F41:L41"/>
    <mergeCell ref="M41:N41"/>
    <mergeCell ref="B42:C42"/>
    <mergeCell ref="F42:L42"/>
    <mergeCell ref="M42:N42"/>
    <mergeCell ref="B43:C43"/>
    <mergeCell ref="M43:N43"/>
    <mergeCell ref="B44:C44"/>
    <mergeCell ref="M44:N44"/>
    <mergeCell ref="B45:C45"/>
    <mergeCell ref="M45:N45"/>
    <mergeCell ref="B47:C47"/>
    <mergeCell ref="D47:F47"/>
    <mergeCell ref="H47:J47"/>
    <mergeCell ref="K47:L47"/>
    <mergeCell ref="M47:P47"/>
    <mergeCell ref="B46:C46"/>
    <mergeCell ref="D46:F46"/>
    <mergeCell ref="H46:J46"/>
    <mergeCell ref="K46:L46"/>
    <mergeCell ref="M46:P46"/>
  </mergeCells>
  <phoneticPr fontId="23" type="noConversion"/>
  <conditionalFormatting sqref="S8">
    <cfRule type="containsText" dxfId="1" priority="1" operator="containsText" text="OFF">
      <formula>NOT(ISERROR(SEARCH("OFF",S8)))</formula>
    </cfRule>
    <cfRule type="containsText" dxfId="0" priority="2" operator="containsText" text="ON">
      <formula>NOT(ISERROR(SEARCH("ON",S8)))</formula>
    </cfRule>
  </conditionalFormatting>
  <dataValidations count="6">
    <dataValidation type="list" allowBlank="1" showInputMessage="1" showErrorMessage="1" sqref="S6" xr:uid="{3B940D93-5F51-4E79-A9A1-0A86E1A46227}">
      <formula1>"1,2,3,4,5,6,7,8,9,10,11,12,13,14,15,16,17,18,19,20"</formula1>
    </dataValidation>
    <dataValidation type="list" allowBlank="1" showInputMessage="1" showErrorMessage="1" sqref="U10" xr:uid="{A88F496A-371A-41B3-901E-4F13B12A3871}">
      <formula1>$U$4</formula1>
    </dataValidation>
    <dataValidation type="list" allowBlank="1" showInputMessage="1" showErrorMessage="1" sqref="S8" xr:uid="{047C20AE-B5C3-40A3-A354-E994E2173AEB}">
      <formula1>"ON, OFF"</formula1>
    </dataValidation>
    <dataValidation type="list" allowBlank="1" showInputMessage="1" showErrorMessage="1" sqref="N4:O4 O6" xr:uid="{7ED6D772-BBD7-42F1-A662-EC7A6CF3D9C7}">
      <formula1>DmbA</formula1>
    </dataValidation>
    <dataValidation type="list" allowBlank="1" showInputMessage="1" showErrorMessage="1" sqref="O8" xr:uid="{0EC2CE71-1D2D-44D9-94A1-7E5EC342CDD2}">
      <formula1>Productgroup</formula1>
    </dataValidation>
    <dataValidation type="list" allowBlank="1" showInputMessage="1" showErrorMessage="1" sqref="N3" xr:uid="{A8CACEDF-C871-41A9-8BCC-7E8356BB9E30}">
      <formula1>Sprache</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January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R600"/>
  <sheetViews>
    <sheetView zoomScale="130" zoomScaleNormal="130" workbookViewId="0">
      <selection activeCell="E3" sqref="E3"/>
    </sheetView>
  </sheetViews>
  <sheetFormatPr defaultColWidth="11.42578125" defaultRowHeight="12.75"/>
  <cols>
    <col min="1" max="1" width="4" bestFit="1" customWidth="1"/>
    <col min="2" max="2" width="13" style="11" bestFit="1" customWidth="1"/>
    <col min="3" max="3" width="23.28515625" style="11" bestFit="1" customWidth="1"/>
    <col min="4" max="4" width="12" style="11" customWidth="1"/>
    <col min="5" max="5" width="23.7109375" bestFit="1" customWidth="1"/>
    <col min="6" max="6" width="23.85546875" customWidth="1"/>
    <col min="7" max="7" width="27.5703125" customWidth="1"/>
    <col min="8" max="8" width="19.28515625" customWidth="1"/>
    <col min="9" max="9" width="6.7109375" customWidth="1"/>
    <col min="10" max="10" width="7.140625" customWidth="1"/>
    <col min="11" max="11" width="18.140625" customWidth="1"/>
    <col min="12" max="12" width="23.85546875" customWidth="1"/>
    <col min="13" max="13" width="28.85546875" customWidth="1"/>
    <col min="14" max="14" width="23.85546875" customWidth="1"/>
    <col min="15" max="15" width="10.5703125" customWidth="1"/>
    <col min="16" max="16" width="41.140625" customWidth="1"/>
    <col min="17" max="17" width="25.85546875" customWidth="1"/>
    <col min="18" max="18" width="19.28515625" customWidth="1"/>
  </cols>
  <sheetData>
    <row r="2" spans="1:18">
      <c r="K2" s="13"/>
    </row>
    <row r="3" spans="1:18">
      <c r="B3" s="9" t="s">
        <v>183</v>
      </c>
      <c r="C3" s="11" t="str">
        <f>HLOOKUP('T.QM.013'!$N$3,Translations,38,0)</f>
        <v xml:space="preserve">ST </v>
      </c>
      <c r="D3" s="11" t="str">
        <f>HLOOKUP('T.QM.013'!$N$3,Translations,39,0)</f>
        <v>CH / MO</v>
      </c>
      <c r="E3" s="11" t="str">
        <f>HLOOKUP('T.QM.013'!$N$3,Translations,40,0)</f>
        <v>EES</v>
      </c>
      <c r="F3" s="11"/>
      <c r="G3" t="str">
        <f>HLOOKUP(F7,Translations,2)</f>
        <v>Working and Test Instruction</v>
      </c>
      <c r="K3" s="13"/>
    </row>
    <row r="4" spans="1:18">
      <c r="B4" s="9"/>
      <c r="E4" s="11"/>
    </row>
    <row r="5" spans="1:18">
      <c r="B5" s="9" t="s">
        <v>7</v>
      </c>
      <c r="C5" s="10" t="s">
        <v>3</v>
      </c>
      <c r="D5" s="16" t="s">
        <v>42</v>
      </c>
      <c r="E5" s="11"/>
    </row>
    <row r="6" spans="1:18" ht="13.5" thickBot="1">
      <c r="B6" s="9"/>
      <c r="C6" s="10"/>
      <c r="D6" s="10"/>
      <c r="E6" s="11"/>
      <c r="Q6" s="23" t="s">
        <v>167</v>
      </c>
      <c r="R6" s="23" t="s">
        <v>168</v>
      </c>
    </row>
    <row r="7" spans="1:18" ht="14.25" thickTop="1" thickBot="1">
      <c r="A7">
        <v>1</v>
      </c>
      <c r="B7" s="106" t="s">
        <v>11</v>
      </c>
      <c r="C7" s="106" t="s">
        <v>99</v>
      </c>
      <c r="D7" s="106" t="s">
        <v>158</v>
      </c>
      <c r="E7" s="106" t="s">
        <v>12</v>
      </c>
      <c r="F7" s="106" t="s">
        <v>13</v>
      </c>
      <c r="G7" s="106" t="s">
        <v>364</v>
      </c>
      <c r="H7" s="106" t="s">
        <v>159</v>
      </c>
      <c r="I7" s="106" t="s">
        <v>160</v>
      </c>
      <c r="J7" s="106" t="s">
        <v>156</v>
      </c>
      <c r="K7" s="106" t="s">
        <v>369</v>
      </c>
      <c r="L7" s="106" t="s">
        <v>368</v>
      </c>
      <c r="M7" s="109" t="s">
        <v>367</v>
      </c>
      <c r="N7" s="106" t="s">
        <v>133</v>
      </c>
      <c r="O7" s="106" t="s">
        <v>157</v>
      </c>
      <c r="P7" s="106" t="s">
        <v>155</v>
      </c>
      <c r="Q7" s="106" t="s">
        <v>289</v>
      </c>
      <c r="R7" s="106" t="s">
        <v>366</v>
      </c>
    </row>
    <row r="8" spans="1:18" ht="13.5" thickTop="1">
      <c r="A8">
        <v>2</v>
      </c>
      <c r="B8" s="8"/>
      <c r="C8" s="23" t="s">
        <v>100</v>
      </c>
      <c r="D8" s="13"/>
      <c r="E8" s="13" t="s">
        <v>41</v>
      </c>
      <c r="F8" s="13" t="s">
        <v>32</v>
      </c>
      <c r="G8" s="107" t="s">
        <v>245</v>
      </c>
      <c r="H8" s="13" t="s">
        <v>331</v>
      </c>
      <c r="K8" s="13" t="s">
        <v>67</v>
      </c>
      <c r="L8" s="13" t="s">
        <v>185</v>
      </c>
      <c r="M8" s="107" t="s">
        <v>286</v>
      </c>
      <c r="N8" s="13" t="s">
        <v>150</v>
      </c>
      <c r="P8" s="13" t="s">
        <v>214</v>
      </c>
      <c r="Q8" s="13" t="s">
        <v>290</v>
      </c>
    </row>
    <row r="9" spans="1:18">
      <c r="A9">
        <v>3</v>
      </c>
      <c r="B9" s="8"/>
      <c r="C9" s="23" t="s">
        <v>101</v>
      </c>
      <c r="D9" s="18"/>
      <c r="E9" s="18" t="s">
        <v>43</v>
      </c>
      <c r="F9" s="18" t="s">
        <v>330</v>
      </c>
      <c r="G9" s="108" t="s">
        <v>246</v>
      </c>
      <c r="H9" s="13" t="s">
        <v>332</v>
      </c>
      <c r="K9" s="18" t="s">
        <v>68</v>
      </c>
      <c r="L9" s="13" t="s">
        <v>184</v>
      </c>
      <c r="M9" s="107" t="s">
        <v>184</v>
      </c>
      <c r="N9" s="18" t="s">
        <v>134</v>
      </c>
      <c r="P9" s="18" t="s">
        <v>215</v>
      </c>
      <c r="Q9" s="13" t="s">
        <v>291</v>
      </c>
    </row>
    <row r="10" spans="1:18">
      <c r="A10">
        <v>4</v>
      </c>
      <c r="B10" s="8"/>
      <c r="C10" s="43" t="s">
        <v>114</v>
      </c>
      <c r="D10" s="44"/>
      <c r="E10" s="18" t="s">
        <v>181</v>
      </c>
      <c r="F10" s="18" t="s">
        <v>181</v>
      </c>
      <c r="G10" s="107" t="s">
        <v>181</v>
      </c>
      <c r="H10" s="13" t="s">
        <v>333</v>
      </c>
      <c r="K10" s="22" t="s">
        <v>94</v>
      </c>
      <c r="L10" s="13" t="s">
        <v>181</v>
      </c>
      <c r="M10" s="107" t="s">
        <v>181</v>
      </c>
      <c r="N10" t="s">
        <v>114</v>
      </c>
      <c r="P10" s="18" t="s">
        <v>181</v>
      </c>
      <c r="Q10" s="13" t="s">
        <v>292</v>
      </c>
    </row>
    <row r="11" spans="1:18">
      <c r="A11">
        <v>5</v>
      </c>
      <c r="B11" s="8"/>
      <c r="C11" s="43" t="s">
        <v>135</v>
      </c>
      <c r="D11" s="18"/>
      <c r="E11" s="44" t="s">
        <v>166</v>
      </c>
      <c r="F11" s="44" t="s">
        <v>165</v>
      </c>
      <c r="G11" s="107" t="s">
        <v>247</v>
      </c>
      <c r="H11" s="13" t="s">
        <v>334</v>
      </c>
      <c r="K11" s="18" t="s">
        <v>95</v>
      </c>
      <c r="L11" s="13" t="s">
        <v>186</v>
      </c>
      <c r="M11" s="107" t="s">
        <v>186</v>
      </c>
      <c r="N11" s="23" t="s">
        <v>135</v>
      </c>
      <c r="P11" s="44" t="s">
        <v>216</v>
      </c>
      <c r="Q11" s="13" t="s">
        <v>293</v>
      </c>
    </row>
    <row r="12" spans="1:18">
      <c r="A12">
        <v>6</v>
      </c>
      <c r="B12" s="8"/>
      <c r="C12" s="43" t="s">
        <v>153</v>
      </c>
      <c r="D12" s="44"/>
      <c r="E12" s="18" t="s">
        <v>177</v>
      </c>
      <c r="F12" s="18" t="s">
        <v>178</v>
      </c>
      <c r="G12" s="108" t="s">
        <v>248</v>
      </c>
      <c r="H12" s="13" t="s">
        <v>335</v>
      </c>
      <c r="K12" s="18" t="s">
        <v>98</v>
      </c>
      <c r="L12" s="13" t="s">
        <v>187</v>
      </c>
      <c r="M12" s="107" t="s">
        <v>187</v>
      </c>
      <c r="N12" s="18" t="s">
        <v>136</v>
      </c>
      <c r="P12" s="18" t="s">
        <v>217</v>
      </c>
      <c r="Q12" s="13" t="s">
        <v>294</v>
      </c>
    </row>
    <row r="13" spans="1:18">
      <c r="A13">
        <v>7</v>
      </c>
      <c r="B13" s="8"/>
      <c r="C13" s="23" t="s">
        <v>102</v>
      </c>
      <c r="D13" s="18"/>
      <c r="E13" s="18" t="s">
        <v>14</v>
      </c>
      <c r="F13" s="18" t="s">
        <v>10</v>
      </c>
      <c r="G13" s="108" t="s">
        <v>249</v>
      </c>
      <c r="H13" s="13" t="s">
        <v>336</v>
      </c>
      <c r="K13" s="18" t="s">
        <v>69</v>
      </c>
      <c r="L13" s="13" t="s">
        <v>188</v>
      </c>
      <c r="M13" s="107" t="s">
        <v>188</v>
      </c>
      <c r="N13" s="18" t="s">
        <v>102</v>
      </c>
      <c r="P13" s="18" t="s">
        <v>218</v>
      </c>
      <c r="Q13" s="13" t="s">
        <v>295</v>
      </c>
    </row>
    <row r="14" spans="1:18">
      <c r="A14">
        <v>8</v>
      </c>
      <c r="B14" s="8"/>
      <c r="C14" s="23" t="s">
        <v>103</v>
      </c>
      <c r="D14" s="18"/>
      <c r="E14" s="18" t="s">
        <v>15</v>
      </c>
      <c r="F14" s="18" t="s">
        <v>15</v>
      </c>
      <c r="G14" s="108" t="s">
        <v>16</v>
      </c>
      <c r="H14" s="13" t="s">
        <v>337</v>
      </c>
      <c r="K14" s="22" t="s">
        <v>97</v>
      </c>
      <c r="L14" s="13" t="s">
        <v>189</v>
      </c>
      <c r="M14" s="107" t="s">
        <v>189</v>
      </c>
      <c r="N14" s="18" t="s">
        <v>137</v>
      </c>
      <c r="P14" s="18" t="s">
        <v>16</v>
      </c>
      <c r="Q14" s="13" t="s">
        <v>296</v>
      </c>
    </row>
    <row r="15" spans="1:18">
      <c r="A15">
        <v>9</v>
      </c>
      <c r="B15" s="8"/>
      <c r="C15" s="23" t="s">
        <v>104</v>
      </c>
      <c r="D15" s="18"/>
      <c r="E15" s="18" t="s">
        <v>22</v>
      </c>
      <c r="F15" s="18" t="s">
        <v>22</v>
      </c>
      <c r="G15" s="108" t="s">
        <v>22</v>
      </c>
      <c r="H15" s="13" t="s">
        <v>365</v>
      </c>
      <c r="K15" s="22" t="s">
        <v>96</v>
      </c>
      <c r="L15" s="13" t="s">
        <v>190</v>
      </c>
      <c r="M15" s="107" t="s">
        <v>190</v>
      </c>
      <c r="N15" s="18" t="s">
        <v>104</v>
      </c>
      <c r="P15" s="18" t="s">
        <v>219</v>
      </c>
      <c r="Q15" s="13" t="s">
        <v>297</v>
      </c>
    </row>
    <row r="16" spans="1:18">
      <c r="A16">
        <v>10</v>
      </c>
      <c r="B16" s="8"/>
      <c r="C16" s="23" t="s">
        <v>105</v>
      </c>
      <c r="D16" s="18"/>
      <c r="E16" s="18" t="s">
        <v>1</v>
      </c>
      <c r="F16" s="18" t="s">
        <v>4</v>
      </c>
      <c r="G16" s="107" t="s">
        <v>283</v>
      </c>
      <c r="H16" s="13" t="s">
        <v>338</v>
      </c>
      <c r="K16" s="18" t="s">
        <v>1</v>
      </c>
      <c r="L16" s="13" t="s">
        <v>191</v>
      </c>
      <c r="M16" s="107" t="s">
        <v>284</v>
      </c>
      <c r="N16" s="23" t="s">
        <v>105</v>
      </c>
      <c r="P16" s="18" t="s">
        <v>220</v>
      </c>
      <c r="Q16" s="13" t="s">
        <v>298</v>
      </c>
    </row>
    <row r="17" spans="1:17">
      <c r="A17">
        <v>11</v>
      </c>
      <c r="B17" s="8"/>
      <c r="C17" s="23" t="s">
        <v>106</v>
      </c>
      <c r="D17" s="18"/>
      <c r="E17" s="18" t="s">
        <v>8</v>
      </c>
      <c r="F17" s="18" t="s">
        <v>8</v>
      </c>
      <c r="G17" s="107" t="s">
        <v>8</v>
      </c>
      <c r="H17" s="13" t="s">
        <v>339</v>
      </c>
      <c r="K17" s="18" t="s">
        <v>8</v>
      </c>
      <c r="L17" s="18" t="s">
        <v>8</v>
      </c>
      <c r="M17" s="108" t="s">
        <v>8</v>
      </c>
      <c r="N17" s="23" t="s">
        <v>106</v>
      </c>
      <c r="P17" s="18" t="s">
        <v>8</v>
      </c>
      <c r="Q17" s="13" t="s">
        <v>299</v>
      </c>
    </row>
    <row r="18" spans="1:17">
      <c r="A18">
        <v>12</v>
      </c>
      <c r="B18" s="8"/>
      <c r="C18" s="23" t="s">
        <v>107</v>
      </c>
      <c r="D18" s="18"/>
      <c r="E18" s="18" t="s">
        <v>17</v>
      </c>
      <c r="F18" s="18" t="s">
        <v>9</v>
      </c>
      <c r="G18" s="107" t="s">
        <v>9</v>
      </c>
      <c r="H18" s="13" t="s">
        <v>340</v>
      </c>
      <c r="K18" s="18" t="s">
        <v>17</v>
      </c>
      <c r="L18" s="13" t="s">
        <v>192</v>
      </c>
      <c r="M18" s="107" t="s">
        <v>192</v>
      </c>
      <c r="N18" s="23" t="s">
        <v>107</v>
      </c>
      <c r="P18" s="18" t="s">
        <v>221</v>
      </c>
      <c r="Q18" s="13" t="s">
        <v>300</v>
      </c>
    </row>
    <row r="19" spans="1:17">
      <c r="A19">
        <v>13</v>
      </c>
      <c r="B19" s="8"/>
      <c r="C19" s="23" t="s">
        <v>108</v>
      </c>
      <c r="D19" s="18"/>
      <c r="E19" s="18" t="s">
        <v>18</v>
      </c>
      <c r="F19" s="18" t="s">
        <v>18</v>
      </c>
      <c r="G19" s="107" t="s">
        <v>18</v>
      </c>
      <c r="H19" s="13" t="s">
        <v>341</v>
      </c>
      <c r="K19" s="18" t="s">
        <v>83</v>
      </c>
      <c r="M19" s="107"/>
      <c r="N19" s="23" t="s">
        <v>108</v>
      </c>
      <c r="P19" s="18" t="s">
        <v>222</v>
      </c>
      <c r="Q19" s="13" t="s">
        <v>301</v>
      </c>
    </row>
    <row r="20" spans="1:17">
      <c r="A20">
        <v>14</v>
      </c>
      <c r="B20" s="8"/>
      <c r="C20" s="23" t="s">
        <v>109</v>
      </c>
      <c r="D20" s="18"/>
      <c r="E20" s="18" t="s">
        <v>19</v>
      </c>
      <c r="F20" s="18" t="s">
        <v>6</v>
      </c>
      <c r="G20" s="108" t="s">
        <v>250</v>
      </c>
      <c r="H20" s="13" t="s">
        <v>342</v>
      </c>
      <c r="K20" s="18" t="s">
        <v>70</v>
      </c>
      <c r="L20" s="13" t="s">
        <v>193</v>
      </c>
      <c r="M20" s="107" t="s">
        <v>193</v>
      </c>
      <c r="N20" s="18" t="s">
        <v>138</v>
      </c>
      <c r="P20" s="18" t="s">
        <v>223</v>
      </c>
      <c r="Q20" s="13" t="s">
        <v>302</v>
      </c>
    </row>
    <row r="21" spans="1:17">
      <c r="A21">
        <v>15</v>
      </c>
      <c r="B21" s="8"/>
      <c r="C21" s="23" t="s">
        <v>110</v>
      </c>
      <c r="D21" s="18"/>
      <c r="E21" s="18" t="s">
        <v>2</v>
      </c>
      <c r="F21" s="18" t="s">
        <v>5</v>
      </c>
      <c r="G21" s="107" t="s">
        <v>251</v>
      </c>
      <c r="H21" s="13" t="s">
        <v>343</v>
      </c>
      <c r="K21" s="18" t="s">
        <v>71</v>
      </c>
      <c r="L21" s="13" t="s">
        <v>194</v>
      </c>
      <c r="M21" s="107" t="s">
        <v>194</v>
      </c>
      <c r="N21" s="23" t="s">
        <v>110</v>
      </c>
      <c r="P21" s="18" t="s">
        <v>224</v>
      </c>
      <c r="Q21" s="13" t="s">
        <v>303</v>
      </c>
    </row>
    <row r="22" spans="1:17">
      <c r="A22">
        <v>16</v>
      </c>
      <c r="B22" s="8"/>
      <c r="C22" s="23" t="s">
        <v>111</v>
      </c>
      <c r="D22" s="18"/>
      <c r="E22" s="18" t="s">
        <v>21</v>
      </c>
      <c r="F22" s="18" t="s">
        <v>20</v>
      </c>
      <c r="G22" s="107" t="s">
        <v>252</v>
      </c>
      <c r="H22" s="13" t="s">
        <v>344</v>
      </c>
      <c r="K22" s="18" t="s">
        <v>72</v>
      </c>
      <c r="L22" s="13" t="s">
        <v>195</v>
      </c>
      <c r="M22" s="107" t="s">
        <v>195</v>
      </c>
      <c r="N22" s="23" t="s">
        <v>111</v>
      </c>
      <c r="P22" s="18" t="s">
        <v>225</v>
      </c>
      <c r="Q22" s="13" t="s">
        <v>304</v>
      </c>
    </row>
    <row r="23" spans="1:17">
      <c r="A23">
        <v>17</v>
      </c>
      <c r="C23" s="24" t="s">
        <v>112</v>
      </c>
      <c r="D23" s="13"/>
      <c r="E23" s="13" t="s">
        <v>44</v>
      </c>
      <c r="F23" s="13" t="s">
        <v>54</v>
      </c>
      <c r="G23" s="107" t="s">
        <v>253</v>
      </c>
      <c r="H23" s="13" t="s">
        <v>345</v>
      </c>
      <c r="K23" s="18" t="s">
        <v>82</v>
      </c>
      <c r="L23" s="13" t="s">
        <v>211</v>
      </c>
      <c r="M23" s="107" t="s">
        <v>211</v>
      </c>
      <c r="N23" s="23" t="s">
        <v>139</v>
      </c>
      <c r="P23" s="13" t="s">
        <v>226</v>
      </c>
      <c r="Q23" s="13" t="s">
        <v>305</v>
      </c>
    </row>
    <row r="24" spans="1:17">
      <c r="A24">
        <v>18</v>
      </c>
      <c r="C24" s="24" t="s">
        <v>113</v>
      </c>
      <c r="D24" s="13"/>
      <c r="E24" s="13" t="s">
        <v>45</v>
      </c>
      <c r="F24" s="13" t="s">
        <v>55</v>
      </c>
      <c r="G24" s="107" t="s">
        <v>254</v>
      </c>
      <c r="H24" s="13" t="s">
        <v>346</v>
      </c>
      <c r="K24" s="18" t="s">
        <v>73</v>
      </c>
      <c r="L24" s="13" t="s">
        <v>196</v>
      </c>
      <c r="M24" s="107" t="s">
        <v>196</v>
      </c>
      <c r="N24" s="23" t="s">
        <v>140</v>
      </c>
      <c r="P24" s="13" t="s">
        <v>227</v>
      </c>
      <c r="Q24" s="13" t="s">
        <v>306</v>
      </c>
    </row>
    <row r="25" spans="1:17">
      <c r="A25">
        <v>19</v>
      </c>
      <c r="C25" s="24" t="s">
        <v>114</v>
      </c>
      <c r="D25" s="13"/>
      <c r="E25" s="13" t="s">
        <v>0</v>
      </c>
      <c r="F25" s="13" t="s">
        <v>56</v>
      </c>
      <c r="G25" s="108" t="s">
        <v>255</v>
      </c>
      <c r="H25" s="13" t="s">
        <v>347</v>
      </c>
      <c r="K25" s="18" t="s">
        <v>74</v>
      </c>
      <c r="L25" s="13" t="s">
        <v>197</v>
      </c>
      <c r="M25" s="107" t="s">
        <v>197</v>
      </c>
      <c r="N25" s="24" t="s">
        <v>114</v>
      </c>
      <c r="P25" s="13" t="s">
        <v>228</v>
      </c>
      <c r="Q25" s="13" t="s">
        <v>307</v>
      </c>
    </row>
    <row r="26" spans="1:17">
      <c r="A26">
        <v>20</v>
      </c>
      <c r="C26" s="42" t="s">
        <v>154</v>
      </c>
      <c r="D26" s="21"/>
      <c r="E26" s="13" t="s">
        <v>46</v>
      </c>
      <c r="F26" s="68" t="s">
        <v>86</v>
      </c>
      <c r="G26" s="108" t="s">
        <v>285</v>
      </c>
      <c r="H26" s="13" t="s">
        <v>348</v>
      </c>
      <c r="K26" s="21" t="s">
        <v>87</v>
      </c>
      <c r="L26" s="13" t="s">
        <v>199</v>
      </c>
      <c r="M26" s="107" t="s">
        <v>199</v>
      </c>
      <c r="N26" s="24" t="s">
        <v>115</v>
      </c>
      <c r="P26" s="68" t="s">
        <v>229</v>
      </c>
      <c r="Q26" s="13" t="s">
        <v>308</v>
      </c>
    </row>
    <row r="27" spans="1:17">
      <c r="A27">
        <v>21</v>
      </c>
      <c r="C27" s="24" t="s">
        <v>116</v>
      </c>
      <c r="D27" s="13"/>
      <c r="E27" s="13" t="s">
        <v>47</v>
      </c>
      <c r="F27" s="13" t="s">
        <v>57</v>
      </c>
      <c r="G27" s="108" t="s">
        <v>270</v>
      </c>
      <c r="H27" s="13" t="s">
        <v>349</v>
      </c>
      <c r="K27" s="21" t="s">
        <v>88</v>
      </c>
      <c r="L27" s="13" t="s">
        <v>212</v>
      </c>
      <c r="M27" s="107" t="s">
        <v>212</v>
      </c>
      <c r="N27" s="24" t="s">
        <v>116</v>
      </c>
      <c r="P27" s="13" t="s">
        <v>230</v>
      </c>
      <c r="Q27" s="13" t="s">
        <v>309</v>
      </c>
    </row>
    <row r="28" spans="1:17">
      <c r="A28">
        <v>22</v>
      </c>
      <c r="C28" s="24" t="s">
        <v>117</v>
      </c>
      <c r="D28" s="13"/>
      <c r="E28" s="13" t="s">
        <v>48</v>
      </c>
      <c r="F28" s="13" t="s">
        <v>58</v>
      </c>
      <c r="G28" s="108" t="s">
        <v>256</v>
      </c>
      <c r="H28" s="13" t="s">
        <v>350</v>
      </c>
      <c r="K28" s="18" t="s">
        <v>76</v>
      </c>
      <c r="L28" s="13" t="s">
        <v>200</v>
      </c>
      <c r="M28" s="107" t="s">
        <v>200</v>
      </c>
      <c r="N28" s="24" t="s">
        <v>141</v>
      </c>
      <c r="P28" s="13" t="s">
        <v>231</v>
      </c>
      <c r="Q28" s="13" t="s">
        <v>310</v>
      </c>
    </row>
    <row r="29" spans="1:17">
      <c r="A29">
        <v>23</v>
      </c>
      <c r="C29" s="24" t="s">
        <v>118</v>
      </c>
      <c r="D29" s="13"/>
      <c r="E29" s="13" t="s">
        <v>24</v>
      </c>
      <c r="F29" s="13" t="s">
        <v>34</v>
      </c>
      <c r="G29" s="108" t="s">
        <v>271</v>
      </c>
      <c r="H29" s="13" t="s">
        <v>351</v>
      </c>
      <c r="K29" s="21" t="s">
        <v>89</v>
      </c>
      <c r="L29" s="13" t="s">
        <v>201</v>
      </c>
      <c r="M29" s="107" t="s">
        <v>201</v>
      </c>
      <c r="N29" s="24" t="s">
        <v>118</v>
      </c>
      <c r="P29" s="13" t="s">
        <v>232</v>
      </c>
      <c r="Q29" s="13" t="s">
        <v>311</v>
      </c>
    </row>
    <row r="30" spans="1:17">
      <c r="A30">
        <v>24</v>
      </c>
      <c r="C30" s="24" t="s">
        <v>119</v>
      </c>
      <c r="D30" s="13"/>
      <c r="E30" s="13" t="s">
        <v>25</v>
      </c>
      <c r="F30" s="13" t="s">
        <v>35</v>
      </c>
      <c r="G30" s="108" t="s">
        <v>257</v>
      </c>
      <c r="H30" s="13" t="s">
        <v>35</v>
      </c>
      <c r="K30" s="21" t="s">
        <v>91</v>
      </c>
      <c r="L30" s="13" t="s">
        <v>202</v>
      </c>
      <c r="M30" s="107" t="s">
        <v>202</v>
      </c>
      <c r="N30" s="24" t="s">
        <v>142</v>
      </c>
      <c r="P30" s="13" t="s">
        <v>233</v>
      </c>
      <c r="Q30" s="13" t="s">
        <v>312</v>
      </c>
    </row>
    <row r="31" spans="1:17">
      <c r="A31">
        <v>25</v>
      </c>
      <c r="C31" s="24" t="s">
        <v>26</v>
      </c>
      <c r="D31" s="13"/>
      <c r="E31" s="13" t="s">
        <v>26</v>
      </c>
      <c r="F31" s="13" t="s">
        <v>36</v>
      </c>
      <c r="G31" s="108" t="s">
        <v>258</v>
      </c>
      <c r="H31" s="13" t="s">
        <v>36</v>
      </c>
      <c r="K31" s="13" t="s">
        <v>75</v>
      </c>
      <c r="L31" s="13" t="s">
        <v>198</v>
      </c>
      <c r="M31" s="107" t="s">
        <v>198</v>
      </c>
      <c r="N31" s="24" t="s">
        <v>143</v>
      </c>
      <c r="P31" s="13" t="s">
        <v>234</v>
      </c>
      <c r="Q31" s="13" t="s">
        <v>313</v>
      </c>
    </row>
    <row r="32" spans="1:17">
      <c r="A32">
        <v>26</v>
      </c>
      <c r="C32" s="24" t="s">
        <v>120</v>
      </c>
      <c r="D32" s="13"/>
      <c r="E32" s="13" t="s">
        <v>23</v>
      </c>
      <c r="F32" s="13" t="s">
        <v>33</v>
      </c>
      <c r="G32" s="107" t="s">
        <v>259</v>
      </c>
      <c r="H32" s="13" t="s">
        <v>352</v>
      </c>
      <c r="K32" s="18" t="s">
        <v>73</v>
      </c>
      <c r="L32" s="13" t="s">
        <v>196</v>
      </c>
      <c r="M32" s="107" t="s">
        <v>196</v>
      </c>
      <c r="N32" s="23" t="s">
        <v>140</v>
      </c>
      <c r="P32" s="13" t="s">
        <v>235</v>
      </c>
      <c r="Q32" s="13" t="s">
        <v>306</v>
      </c>
    </row>
    <row r="33" spans="1:17">
      <c r="A33">
        <v>27</v>
      </c>
      <c r="C33" s="24" t="s">
        <v>121</v>
      </c>
      <c r="D33" s="13"/>
      <c r="E33" s="13" t="s">
        <v>27</v>
      </c>
      <c r="F33" s="13" t="s">
        <v>37</v>
      </c>
      <c r="G33" s="108" t="s">
        <v>260</v>
      </c>
      <c r="H33" s="13" t="s">
        <v>353</v>
      </c>
      <c r="K33" s="21" t="s">
        <v>90</v>
      </c>
      <c r="L33" s="13" t="s">
        <v>203</v>
      </c>
      <c r="M33" s="107" t="s">
        <v>37</v>
      </c>
      <c r="N33" s="24" t="s">
        <v>121</v>
      </c>
      <c r="P33" s="13" t="s">
        <v>232</v>
      </c>
      <c r="Q33" s="13" t="s">
        <v>314</v>
      </c>
    </row>
    <row r="34" spans="1:17">
      <c r="A34">
        <v>28</v>
      </c>
      <c r="C34" s="24" t="s">
        <v>28</v>
      </c>
      <c r="D34" s="13"/>
      <c r="E34" s="13" t="s">
        <v>28</v>
      </c>
      <c r="F34" s="13" t="s">
        <v>38</v>
      </c>
      <c r="G34" s="108" t="s">
        <v>28</v>
      </c>
      <c r="H34" s="13" t="s">
        <v>38</v>
      </c>
      <c r="K34" s="13" t="s">
        <v>92</v>
      </c>
      <c r="L34" s="13" t="s">
        <v>28</v>
      </c>
      <c r="M34" s="107" t="s">
        <v>92</v>
      </c>
      <c r="N34" s="24" t="s">
        <v>28</v>
      </c>
      <c r="P34" s="13" t="s">
        <v>38</v>
      </c>
      <c r="Q34" s="13" t="s">
        <v>315</v>
      </c>
    </row>
    <row r="35" spans="1:17">
      <c r="A35">
        <v>29</v>
      </c>
      <c r="C35" s="24" t="s">
        <v>29</v>
      </c>
      <c r="D35" s="13"/>
      <c r="E35" s="13" t="s">
        <v>29</v>
      </c>
      <c r="F35" s="68" t="s">
        <v>179</v>
      </c>
      <c r="G35" s="108" t="s">
        <v>261</v>
      </c>
      <c r="H35" s="13" t="s">
        <v>354</v>
      </c>
      <c r="K35" s="13" t="s">
        <v>93</v>
      </c>
      <c r="L35" s="13" t="s">
        <v>204</v>
      </c>
      <c r="M35" s="107" t="s">
        <v>281</v>
      </c>
      <c r="N35" s="24" t="s">
        <v>29</v>
      </c>
      <c r="P35" s="68" t="s">
        <v>179</v>
      </c>
      <c r="Q35" s="13" t="s">
        <v>29</v>
      </c>
    </row>
    <row r="36" spans="1:17">
      <c r="A36">
        <v>30</v>
      </c>
      <c r="C36" s="24" t="s">
        <v>122</v>
      </c>
      <c r="D36" s="13"/>
      <c r="E36" s="13" t="s">
        <v>30</v>
      </c>
      <c r="F36" s="13" t="s">
        <v>39</v>
      </c>
      <c r="G36" s="108" t="s">
        <v>262</v>
      </c>
      <c r="H36" s="13" t="s">
        <v>39</v>
      </c>
      <c r="K36" s="13" t="s">
        <v>77</v>
      </c>
      <c r="L36" s="13" t="s">
        <v>205</v>
      </c>
      <c r="M36" s="107" t="s">
        <v>205</v>
      </c>
      <c r="N36" s="24" t="s">
        <v>122</v>
      </c>
      <c r="P36" s="13" t="s">
        <v>236</v>
      </c>
      <c r="Q36" s="13" t="s">
        <v>316</v>
      </c>
    </row>
    <row r="37" spans="1:17">
      <c r="A37">
        <v>31</v>
      </c>
      <c r="C37" s="24" t="s">
        <v>123</v>
      </c>
      <c r="D37" s="13"/>
      <c r="E37" s="13" t="s">
        <v>164</v>
      </c>
      <c r="F37" s="13" t="s">
        <v>163</v>
      </c>
      <c r="G37" s="108" t="s">
        <v>263</v>
      </c>
      <c r="H37" s="13" t="s">
        <v>355</v>
      </c>
      <c r="K37" s="21" t="s">
        <v>162</v>
      </c>
      <c r="L37" s="13" t="s">
        <v>208</v>
      </c>
      <c r="M37" s="107" t="s">
        <v>208</v>
      </c>
      <c r="N37" s="24" t="s">
        <v>161</v>
      </c>
      <c r="P37" s="88" t="s">
        <v>237</v>
      </c>
      <c r="Q37" s="13" t="s">
        <v>317</v>
      </c>
    </row>
    <row r="38" spans="1:17">
      <c r="A38">
        <v>32</v>
      </c>
      <c r="C38" s="24" t="s">
        <v>124</v>
      </c>
      <c r="D38" s="13"/>
      <c r="E38" s="13" t="s">
        <v>31</v>
      </c>
      <c r="F38" s="13" t="s">
        <v>40</v>
      </c>
      <c r="G38" s="108" t="s">
        <v>264</v>
      </c>
      <c r="H38" s="13" t="s">
        <v>264</v>
      </c>
      <c r="K38" s="13" t="s">
        <v>78</v>
      </c>
      <c r="L38" s="13" t="s">
        <v>194</v>
      </c>
      <c r="M38" s="107" t="s">
        <v>194</v>
      </c>
      <c r="N38" s="24" t="s">
        <v>144</v>
      </c>
      <c r="P38" s="13" t="s">
        <v>238</v>
      </c>
      <c r="Q38" s="13" t="s">
        <v>318</v>
      </c>
    </row>
    <row r="39" spans="1:17">
      <c r="A39">
        <v>33</v>
      </c>
      <c r="C39" s="24" t="s">
        <v>151</v>
      </c>
      <c r="D39" s="13"/>
      <c r="E39" s="13" t="s">
        <v>49</v>
      </c>
      <c r="F39" s="13" t="s">
        <v>59</v>
      </c>
      <c r="G39" s="108" t="s">
        <v>265</v>
      </c>
      <c r="H39" s="13" t="s">
        <v>356</v>
      </c>
      <c r="K39" s="13" t="s">
        <v>79</v>
      </c>
      <c r="L39" s="13" t="s">
        <v>206</v>
      </c>
      <c r="M39" s="107" t="s">
        <v>282</v>
      </c>
      <c r="N39" s="24" t="s">
        <v>125</v>
      </c>
      <c r="P39" s="13" t="s">
        <v>239</v>
      </c>
      <c r="Q39" s="13" t="s">
        <v>319</v>
      </c>
    </row>
    <row r="40" spans="1:17">
      <c r="A40">
        <v>34</v>
      </c>
      <c r="C40" s="24" t="s">
        <v>152</v>
      </c>
      <c r="D40" s="13"/>
      <c r="E40" s="13" t="s">
        <v>50</v>
      </c>
      <c r="F40" s="13" t="s">
        <v>60</v>
      </c>
      <c r="G40" s="108" t="s">
        <v>266</v>
      </c>
      <c r="H40" s="13" t="s">
        <v>357</v>
      </c>
      <c r="K40" s="13" t="s">
        <v>75</v>
      </c>
      <c r="L40" s="13" t="s">
        <v>198</v>
      </c>
      <c r="M40" s="107" t="s">
        <v>198</v>
      </c>
      <c r="N40" s="24" t="s">
        <v>143</v>
      </c>
      <c r="P40" s="13" t="s">
        <v>240</v>
      </c>
      <c r="Q40" s="13" t="s">
        <v>320</v>
      </c>
    </row>
    <row r="41" spans="1:17">
      <c r="A41">
        <v>35</v>
      </c>
      <c r="C41" s="24" t="s">
        <v>80</v>
      </c>
      <c r="D41" s="13"/>
      <c r="E41" s="13" t="s">
        <v>51</v>
      </c>
      <c r="F41" s="13" t="s">
        <v>51</v>
      </c>
      <c r="G41" s="108" t="s">
        <v>51</v>
      </c>
      <c r="H41" s="13" t="s">
        <v>358</v>
      </c>
      <c r="K41" s="13" t="s">
        <v>80</v>
      </c>
      <c r="L41" s="13" t="s">
        <v>80</v>
      </c>
      <c r="M41" s="107" t="s">
        <v>80</v>
      </c>
      <c r="N41" s="24" t="s">
        <v>80</v>
      </c>
      <c r="P41" s="13" t="s">
        <v>51</v>
      </c>
      <c r="Q41" s="13" t="s">
        <v>321</v>
      </c>
    </row>
    <row r="42" spans="1:17">
      <c r="A42">
        <v>36</v>
      </c>
      <c r="C42" s="24" t="s">
        <v>126</v>
      </c>
      <c r="D42" s="13"/>
      <c r="E42" s="13" t="s">
        <v>52</v>
      </c>
      <c r="F42" s="13" t="s">
        <v>61</v>
      </c>
      <c r="G42" s="108" t="s">
        <v>267</v>
      </c>
      <c r="H42" s="13" t="s">
        <v>359</v>
      </c>
      <c r="K42" s="13" t="s">
        <v>81</v>
      </c>
      <c r="L42" s="13" t="s">
        <v>213</v>
      </c>
      <c r="M42" s="107" t="s">
        <v>213</v>
      </c>
      <c r="N42" s="24" t="s">
        <v>145</v>
      </c>
      <c r="P42" s="13" t="s">
        <v>241</v>
      </c>
      <c r="Q42" s="13" t="s">
        <v>322</v>
      </c>
    </row>
    <row r="43" spans="1:17">
      <c r="A43">
        <v>37</v>
      </c>
      <c r="C43" s="24" t="s">
        <v>127</v>
      </c>
      <c r="D43" s="13"/>
      <c r="E43" s="13" t="s">
        <v>53</v>
      </c>
      <c r="F43" s="13" t="s">
        <v>62</v>
      </c>
      <c r="G43" s="108" t="s">
        <v>268</v>
      </c>
      <c r="H43" s="13" t="s">
        <v>360</v>
      </c>
      <c r="K43" s="13"/>
      <c r="L43" s="13" t="s">
        <v>207</v>
      </c>
      <c r="M43" s="107" t="s">
        <v>207</v>
      </c>
      <c r="N43" s="24" t="s">
        <v>146</v>
      </c>
      <c r="P43" s="13" t="s">
        <v>242</v>
      </c>
      <c r="Q43" s="13" t="s">
        <v>305</v>
      </c>
    </row>
    <row r="44" spans="1:17">
      <c r="A44">
        <v>38</v>
      </c>
      <c r="C44" s="24" t="s">
        <v>128</v>
      </c>
      <c r="D44" s="18"/>
      <c r="E44" s="18" t="s">
        <v>128</v>
      </c>
      <c r="F44" s="18" t="s">
        <v>128</v>
      </c>
      <c r="G44" s="108" t="s">
        <v>128</v>
      </c>
      <c r="H44" s="13" t="s">
        <v>128</v>
      </c>
      <c r="K44" s="18" t="s">
        <v>128</v>
      </c>
      <c r="L44" s="18" t="s">
        <v>128</v>
      </c>
      <c r="M44" s="108" t="s">
        <v>128</v>
      </c>
      <c r="N44" s="24" t="s">
        <v>147</v>
      </c>
      <c r="P44" s="18" t="s">
        <v>128</v>
      </c>
      <c r="Q44" s="13" t="s">
        <v>147</v>
      </c>
    </row>
    <row r="45" spans="1:17">
      <c r="A45">
        <v>39</v>
      </c>
      <c r="C45" s="24" t="s">
        <v>129</v>
      </c>
      <c r="D45" s="18"/>
      <c r="E45" s="18" t="s">
        <v>129</v>
      </c>
      <c r="F45" s="18" t="s">
        <v>129</v>
      </c>
      <c r="G45" s="108" t="s">
        <v>129</v>
      </c>
      <c r="H45" s="13" t="s">
        <v>129</v>
      </c>
      <c r="K45" s="18" t="s">
        <v>129</v>
      </c>
      <c r="L45" s="18" t="s">
        <v>129</v>
      </c>
      <c r="M45" s="108" t="s">
        <v>129</v>
      </c>
      <c r="N45" s="18" t="s">
        <v>129</v>
      </c>
      <c r="P45" s="18" t="s">
        <v>129</v>
      </c>
      <c r="Q45" s="13" t="s">
        <v>323</v>
      </c>
    </row>
    <row r="46" spans="1:17">
      <c r="A46">
        <v>40</v>
      </c>
      <c r="C46" s="24" t="s">
        <v>130</v>
      </c>
      <c r="D46" s="18"/>
      <c r="E46" s="18" t="s">
        <v>130</v>
      </c>
      <c r="F46" s="18" t="s">
        <v>130</v>
      </c>
      <c r="G46" s="108" t="s">
        <v>130</v>
      </c>
      <c r="H46" s="13" t="s">
        <v>130</v>
      </c>
      <c r="K46" s="18" t="s">
        <v>130</v>
      </c>
      <c r="L46" s="18" t="s">
        <v>130</v>
      </c>
      <c r="M46" s="108" t="s">
        <v>130</v>
      </c>
      <c r="N46" s="18" t="s">
        <v>130</v>
      </c>
      <c r="P46" s="18" t="s">
        <v>130</v>
      </c>
      <c r="Q46" s="13" t="s">
        <v>130</v>
      </c>
    </row>
    <row r="47" spans="1:17">
      <c r="A47">
        <v>41</v>
      </c>
      <c r="C47" s="24"/>
      <c r="D47" s="18"/>
      <c r="E47" s="18"/>
      <c r="F47" s="18"/>
      <c r="G47" s="107"/>
      <c r="H47" s="13"/>
      <c r="K47" s="18"/>
      <c r="M47" s="107"/>
      <c r="P47" s="18"/>
    </row>
    <row r="48" spans="1:17">
      <c r="A48">
        <v>42</v>
      </c>
      <c r="C48" s="24" t="s">
        <v>131</v>
      </c>
      <c r="D48" s="18"/>
      <c r="E48" s="18" t="s">
        <v>63</v>
      </c>
      <c r="F48" s="18" t="s">
        <v>64</v>
      </c>
      <c r="G48" s="108" t="s">
        <v>287</v>
      </c>
      <c r="H48" s="13" t="s">
        <v>361</v>
      </c>
      <c r="K48" s="18" t="s">
        <v>85</v>
      </c>
      <c r="L48" s="13" t="s">
        <v>209</v>
      </c>
      <c r="M48" s="107" t="s">
        <v>275</v>
      </c>
      <c r="N48" s="18" t="s">
        <v>149</v>
      </c>
      <c r="P48" s="18" t="s">
        <v>243</v>
      </c>
      <c r="Q48" s="13" t="s">
        <v>324</v>
      </c>
    </row>
    <row r="49" spans="1:17">
      <c r="A49">
        <v>43</v>
      </c>
      <c r="C49" s="24" t="s">
        <v>132</v>
      </c>
      <c r="D49" s="18"/>
      <c r="E49" s="18" t="s">
        <v>65</v>
      </c>
      <c r="F49" s="18" t="s">
        <v>66</v>
      </c>
      <c r="G49" s="108" t="s">
        <v>288</v>
      </c>
      <c r="H49" s="13" t="s">
        <v>362</v>
      </c>
      <c r="K49" s="18" t="s">
        <v>84</v>
      </c>
      <c r="L49" s="18" t="s">
        <v>210</v>
      </c>
      <c r="M49" s="108" t="s">
        <v>274</v>
      </c>
      <c r="N49" s="18" t="s">
        <v>148</v>
      </c>
      <c r="P49" s="18" t="s">
        <v>244</v>
      </c>
      <c r="Q49" s="13" t="s">
        <v>325</v>
      </c>
    </row>
    <row r="50" spans="1:17">
      <c r="A50">
        <v>44</v>
      </c>
      <c r="C50" s="13"/>
      <c r="D50" s="13"/>
      <c r="G50" s="107"/>
      <c r="H50" s="13"/>
      <c r="M50" s="107"/>
    </row>
    <row r="51" spans="1:17">
      <c r="A51">
        <v>45</v>
      </c>
      <c r="C51" s="24" t="s">
        <v>173</v>
      </c>
      <c r="D51" s="13"/>
      <c r="F51" s="23" t="s">
        <v>170</v>
      </c>
      <c r="G51" s="107" t="s">
        <v>278</v>
      </c>
      <c r="H51" s="13" t="s">
        <v>363</v>
      </c>
      <c r="M51" s="107" t="s">
        <v>272</v>
      </c>
      <c r="N51" s="107" t="s">
        <v>276</v>
      </c>
      <c r="Q51" s="13" t="s">
        <v>326</v>
      </c>
    </row>
    <row r="52" spans="1:17">
      <c r="A52">
        <v>46</v>
      </c>
      <c r="C52" s="24" t="s">
        <v>174</v>
      </c>
      <c r="D52" s="13"/>
      <c r="E52" s="23" t="s">
        <v>180</v>
      </c>
      <c r="F52" s="23" t="s">
        <v>169</v>
      </c>
      <c r="G52" s="107" t="s">
        <v>269</v>
      </c>
      <c r="H52" s="13" t="s">
        <v>169</v>
      </c>
      <c r="M52" s="107" t="s">
        <v>273</v>
      </c>
      <c r="N52" s="107" t="s">
        <v>277</v>
      </c>
      <c r="Q52" s="13" t="s">
        <v>327</v>
      </c>
    </row>
    <row r="53" spans="1:17">
      <c r="A53">
        <v>47</v>
      </c>
      <c r="C53" s="24" t="s">
        <v>175</v>
      </c>
      <c r="D53" s="13"/>
      <c r="E53" s="23" t="s">
        <v>279</v>
      </c>
      <c r="F53" s="23" t="s">
        <v>171</v>
      </c>
      <c r="G53" s="107" t="s">
        <v>171</v>
      </c>
      <c r="H53" s="13" t="s">
        <v>171</v>
      </c>
      <c r="M53" s="107" t="s">
        <v>171</v>
      </c>
      <c r="N53" s="107" t="s">
        <v>171</v>
      </c>
      <c r="Q53" s="13" t="s">
        <v>328</v>
      </c>
    </row>
    <row r="54" spans="1:17">
      <c r="A54">
        <v>48</v>
      </c>
      <c r="C54" s="24" t="s">
        <v>176</v>
      </c>
      <c r="D54" s="13"/>
      <c r="E54" s="23" t="s">
        <v>280</v>
      </c>
      <c r="F54" s="23" t="s">
        <v>172</v>
      </c>
      <c r="G54" s="107" t="s">
        <v>172</v>
      </c>
      <c r="H54" s="13" t="s">
        <v>172</v>
      </c>
      <c r="M54" s="107" t="s">
        <v>172</v>
      </c>
      <c r="N54" s="107" t="s">
        <v>172</v>
      </c>
      <c r="Q54" s="13" t="s">
        <v>329</v>
      </c>
    </row>
    <row r="55" spans="1:17">
      <c r="A55">
        <v>49</v>
      </c>
      <c r="C55" s="13"/>
      <c r="D55" s="13"/>
      <c r="H55" s="13"/>
    </row>
    <row r="56" spans="1:17">
      <c r="A56">
        <v>50</v>
      </c>
      <c r="C56" s="13"/>
      <c r="D56" s="13"/>
      <c r="H56" s="13"/>
    </row>
    <row r="57" spans="1:17">
      <c r="A57">
        <v>51</v>
      </c>
      <c r="C57" s="13"/>
      <c r="D57" s="13"/>
      <c r="H57" s="13"/>
    </row>
    <row r="58" spans="1:17">
      <c r="A58">
        <v>52</v>
      </c>
      <c r="C58" s="13"/>
      <c r="D58" s="13"/>
      <c r="H58" s="13"/>
    </row>
    <row r="59" spans="1:17">
      <c r="A59">
        <v>53</v>
      </c>
      <c r="C59" s="13"/>
      <c r="D59" s="13"/>
      <c r="H59" s="13"/>
    </row>
    <row r="60" spans="1:17">
      <c r="A60">
        <v>54</v>
      </c>
      <c r="C60" s="13"/>
      <c r="D60" s="13"/>
      <c r="H60" s="13"/>
    </row>
    <row r="61" spans="1:17">
      <c r="A61">
        <v>55</v>
      </c>
      <c r="C61" s="13"/>
      <c r="D61" s="13"/>
      <c r="H61" s="13"/>
    </row>
    <row r="62" spans="1:17">
      <c r="A62">
        <v>56</v>
      </c>
      <c r="C62" s="13"/>
      <c r="D62" s="13"/>
      <c r="H62" s="13"/>
    </row>
    <row r="63" spans="1:17">
      <c r="A63">
        <v>57</v>
      </c>
      <c r="C63" s="13"/>
      <c r="D63" s="13"/>
      <c r="H63" s="13"/>
    </row>
    <row r="64" spans="1:17">
      <c r="A64">
        <v>58</v>
      </c>
      <c r="C64" s="13"/>
      <c r="D64" s="13"/>
      <c r="H64" s="13"/>
    </row>
    <row r="65" spans="1:8">
      <c r="A65">
        <v>59</v>
      </c>
      <c r="C65" s="13"/>
      <c r="D65" s="13"/>
      <c r="H65" s="13"/>
    </row>
    <row r="66" spans="1:8">
      <c r="A66">
        <v>60</v>
      </c>
      <c r="C66" s="13"/>
      <c r="D66" s="13"/>
      <c r="H66" s="13"/>
    </row>
    <row r="67" spans="1:8">
      <c r="A67">
        <v>61</v>
      </c>
      <c r="C67" s="13"/>
      <c r="D67" s="13"/>
      <c r="H67" s="13"/>
    </row>
    <row r="68" spans="1:8">
      <c r="A68">
        <v>62</v>
      </c>
      <c r="C68" s="13"/>
      <c r="D68" s="13"/>
      <c r="H68" s="13"/>
    </row>
    <row r="69" spans="1:8">
      <c r="A69">
        <v>63</v>
      </c>
      <c r="C69" s="13"/>
      <c r="D69" s="13"/>
      <c r="H69" s="13"/>
    </row>
    <row r="70" spans="1:8">
      <c r="A70">
        <v>64</v>
      </c>
      <c r="C70" s="13"/>
      <c r="D70" s="13"/>
      <c r="H70" s="13"/>
    </row>
    <row r="71" spans="1:8">
      <c r="A71">
        <v>65</v>
      </c>
      <c r="C71" s="13"/>
      <c r="D71" s="13"/>
      <c r="H71" s="13"/>
    </row>
    <row r="72" spans="1:8">
      <c r="A72">
        <v>66</v>
      </c>
      <c r="C72" s="13"/>
      <c r="D72" s="13"/>
      <c r="H72" s="13"/>
    </row>
    <row r="73" spans="1:8">
      <c r="A73">
        <v>67</v>
      </c>
      <c r="C73" s="13"/>
      <c r="D73" s="13"/>
      <c r="H73" s="13"/>
    </row>
    <row r="74" spans="1:8">
      <c r="A74">
        <v>68</v>
      </c>
      <c r="H74" s="13"/>
    </row>
    <row r="75" spans="1:8">
      <c r="A75">
        <v>69</v>
      </c>
      <c r="H75" s="13"/>
    </row>
    <row r="76" spans="1:8">
      <c r="A76">
        <v>70</v>
      </c>
    </row>
    <row r="77" spans="1:8">
      <c r="A77">
        <v>71</v>
      </c>
    </row>
    <row r="78" spans="1:8">
      <c r="A78">
        <v>72</v>
      </c>
    </row>
    <row r="79" spans="1:8">
      <c r="A79">
        <v>73</v>
      </c>
    </row>
    <row r="80" spans="1:8">
      <c r="A80">
        <v>74</v>
      </c>
    </row>
    <row r="81" spans="1:1">
      <c r="A81">
        <v>75</v>
      </c>
    </row>
    <row r="82" spans="1:1">
      <c r="A82">
        <v>76</v>
      </c>
    </row>
    <row r="83" spans="1:1">
      <c r="A83">
        <v>77</v>
      </c>
    </row>
    <row r="84" spans="1:1">
      <c r="A84">
        <v>78</v>
      </c>
    </row>
    <row r="85" spans="1:1">
      <c r="A85">
        <v>79</v>
      </c>
    </row>
    <row r="86" spans="1:1">
      <c r="A86">
        <v>80</v>
      </c>
    </row>
    <row r="87" spans="1:1">
      <c r="A87">
        <v>81</v>
      </c>
    </row>
    <row r="88" spans="1:1">
      <c r="A88">
        <v>82</v>
      </c>
    </row>
    <row r="89" spans="1:1">
      <c r="A89">
        <v>83</v>
      </c>
    </row>
    <row r="90" spans="1:1">
      <c r="A90">
        <v>84</v>
      </c>
    </row>
    <row r="91" spans="1:1">
      <c r="A91">
        <v>85</v>
      </c>
    </row>
    <row r="92" spans="1:1">
      <c r="A92">
        <v>86</v>
      </c>
    </row>
    <row r="93" spans="1:1">
      <c r="A93">
        <v>87</v>
      </c>
    </row>
    <row r="94" spans="1:1">
      <c r="A94">
        <v>88</v>
      </c>
    </row>
    <row r="95" spans="1:1">
      <c r="A95">
        <v>89</v>
      </c>
    </row>
    <row r="96" spans="1:1">
      <c r="A96">
        <v>90</v>
      </c>
    </row>
    <row r="97" spans="1:1">
      <c r="A97">
        <v>91</v>
      </c>
    </row>
    <row r="98" spans="1:1">
      <c r="A98">
        <v>92</v>
      </c>
    </row>
    <row r="99" spans="1:1">
      <c r="A99">
        <v>93</v>
      </c>
    </row>
    <row r="100" spans="1:1">
      <c r="A100">
        <v>94</v>
      </c>
    </row>
    <row r="101" spans="1:1">
      <c r="A101">
        <v>95</v>
      </c>
    </row>
    <row r="102" spans="1:1">
      <c r="A102">
        <v>96</v>
      </c>
    </row>
    <row r="103" spans="1:1">
      <c r="A103">
        <v>97</v>
      </c>
    </row>
    <row r="104" spans="1:1">
      <c r="A104">
        <v>98</v>
      </c>
    </row>
    <row r="105" spans="1:1">
      <c r="A105">
        <v>99</v>
      </c>
    </row>
    <row r="106" spans="1:1">
      <c r="A106">
        <v>100</v>
      </c>
    </row>
    <row r="107" spans="1:1">
      <c r="A107">
        <v>101</v>
      </c>
    </row>
    <row r="108" spans="1:1">
      <c r="A108">
        <v>102</v>
      </c>
    </row>
    <row r="109" spans="1:1">
      <c r="A109">
        <v>103</v>
      </c>
    </row>
    <row r="110" spans="1:1">
      <c r="A110">
        <v>104</v>
      </c>
    </row>
    <row r="111" spans="1:1">
      <c r="A111">
        <v>105</v>
      </c>
    </row>
    <row r="112" spans="1:1">
      <c r="A112">
        <v>106</v>
      </c>
    </row>
    <row r="113" spans="1:1">
      <c r="A113">
        <v>107</v>
      </c>
    </row>
    <row r="114" spans="1:1">
      <c r="A114">
        <v>108</v>
      </c>
    </row>
    <row r="115" spans="1:1">
      <c r="A115">
        <v>109</v>
      </c>
    </row>
    <row r="116" spans="1:1">
      <c r="A116">
        <v>110</v>
      </c>
    </row>
    <row r="117" spans="1:1">
      <c r="A117">
        <v>111</v>
      </c>
    </row>
    <row r="118" spans="1:1">
      <c r="A118">
        <v>112</v>
      </c>
    </row>
    <row r="119" spans="1:1">
      <c r="A119">
        <v>113</v>
      </c>
    </row>
    <row r="120" spans="1:1">
      <c r="A120">
        <v>114</v>
      </c>
    </row>
    <row r="121" spans="1:1">
      <c r="A121">
        <v>115</v>
      </c>
    </row>
    <row r="122" spans="1:1">
      <c r="A122">
        <v>116</v>
      </c>
    </row>
    <row r="123" spans="1:1">
      <c r="A123">
        <v>117</v>
      </c>
    </row>
    <row r="124" spans="1:1">
      <c r="A124">
        <v>118</v>
      </c>
    </row>
    <row r="125" spans="1:1">
      <c r="A125">
        <v>119</v>
      </c>
    </row>
    <row r="126" spans="1:1">
      <c r="A126">
        <v>120</v>
      </c>
    </row>
    <row r="127" spans="1:1">
      <c r="A127">
        <v>121</v>
      </c>
    </row>
    <row r="128" spans="1:1">
      <c r="A128">
        <v>122</v>
      </c>
    </row>
    <row r="129" spans="1:1">
      <c r="A129">
        <v>123</v>
      </c>
    </row>
    <row r="130" spans="1:1">
      <c r="A130">
        <v>124</v>
      </c>
    </row>
    <row r="131" spans="1:1">
      <c r="A131">
        <v>125</v>
      </c>
    </row>
    <row r="132" spans="1:1">
      <c r="A132">
        <v>126</v>
      </c>
    </row>
    <row r="133" spans="1:1">
      <c r="A133">
        <v>127</v>
      </c>
    </row>
    <row r="134" spans="1:1">
      <c r="A134">
        <v>128</v>
      </c>
    </row>
    <row r="135" spans="1:1">
      <c r="A135">
        <v>129</v>
      </c>
    </row>
    <row r="136" spans="1:1">
      <c r="A136">
        <v>130</v>
      </c>
    </row>
    <row r="137" spans="1:1">
      <c r="A137">
        <v>131</v>
      </c>
    </row>
    <row r="138" spans="1:1">
      <c r="A138">
        <v>132</v>
      </c>
    </row>
    <row r="139" spans="1:1">
      <c r="A139">
        <v>133</v>
      </c>
    </row>
    <row r="140" spans="1:1">
      <c r="A140">
        <v>134</v>
      </c>
    </row>
    <row r="141" spans="1:1">
      <c r="A141">
        <v>135</v>
      </c>
    </row>
    <row r="142" spans="1:1">
      <c r="A142">
        <v>136</v>
      </c>
    </row>
    <row r="143" spans="1:1">
      <c r="A143">
        <v>137</v>
      </c>
    </row>
    <row r="144" spans="1:1">
      <c r="A144">
        <v>138</v>
      </c>
    </row>
    <row r="145" spans="1:1">
      <c r="A145">
        <v>139</v>
      </c>
    </row>
    <row r="146" spans="1:1">
      <c r="A146">
        <v>140</v>
      </c>
    </row>
    <row r="147" spans="1:1">
      <c r="A147">
        <v>141</v>
      </c>
    </row>
    <row r="148" spans="1:1">
      <c r="A148">
        <v>142</v>
      </c>
    </row>
    <row r="149" spans="1:1">
      <c r="A149">
        <v>143</v>
      </c>
    </row>
    <row r="150" spans="1:1">
      <c r="A150">
        <v>144</v>
      </c>
    </row>
    <row r="151" spans="1:1">
      <c r="A151">
        <v>145</v>
      </c>
    </row>
    <row r="152" spans="1:1">
      <c r="A152">
        <v>146</v>
      </c>
    </row>
    <row r="153" spans="1:1">
      <c r="A153">
        <v>147</v>
      </c>
    </row>
    <row r="154" spans="1:1">
      <c r="A154">
        <v>148</v>
      </c>
    </row>
    <row r="155" spans="1:1">
      <c r="A155">
        <v>149</v>
      </c>
    </row>
    <row r="156" spans="1:1">
      <c r="A156">
        <v>150</v>
      </c>
    </row>
    <row r="157" spans="1:1">
      <c r="A157">
        <v>151</v>
      </c>
    </row>
    <row r="158" spans="1:1">
      <c r="A158">
        <v>152</v>
      </c>
    </row>
    <row r="159" spans="1:1">
      <c r="A159">
        <v>153</v>
      </c>
    </row>
    <row r="160" spans="1:1">
      <c r="A160">
        <v>154</v>
      </c>
    </row>
    <row r="161" spans="1:1">
      <c r="A161">
        <v>155</v>
      </c>
    </row>
    <row r="162" spans="1:1">
      <c r="A162">
        <v>156</v>
      </c>
    </row>
    <row r="163" spans="1:1">
      <c r="A163">
        <v>157</v>
      </c>
    </row>
    <row r="164" spans="1:1">
      <c r="A164">
        <v>158</v>
      </c>
    </row>
    <row r="165" spans="1:1">
      <c r="A165">
        <v>159</v>
      </c>
    </row>
    <row r="166" spans="1:1">
      <c r="A166">
        <v>160</v>
      </c>
    </row>
    <row r="167" spans="1:1">
      <c r="A167">
        <v>161</v>
      </c>
    </row>
    <row r="168" spans="1:1">
      <c r="A168">
        <v>162</v>
      </c>
    </row>
    <row r="169" spans="1:1">
      <c r="A169">
        <v>163</v>
      </c>
    </row>
    <row r="170" spans="1:1">
      <c r="A170">
        <v>164</v>
      </c>
    </row>
    <row r="171" spans="1:1">
      <c r="A171">
        <v>165</v>
      </c>
    </row>
    <row r="172" spans="1:1">
      <c r="A172">
        <v>166</v>
      </c>
    </row>
    <row r="173" spans="1:1">
      <c r="A173">
        <v>167</v>
      </c>
    </row>
    <row r="174" spans="1:1">
      <c r="A174">
        <v>168</v>
      </c>
    </row>
    <row r="175" spans="1:1">
      <c r="A175">
        <v>169</v>
      </c>
    </row>
    <row r="176" spans="1:1">
      <c r="A176">
        <v>170</v>
      </c>
    </row>
    <row r="177" spans="1:1">
      <c r="A177">
        <v>171</v>
      </c>
    </row>
    <row r="178" spans="1:1">
      <c r="A178">
        <v>172</v>
      </c>
    </row>
    <row r="179" spans="1:1">
      <c r="A179">
        <v>173</v>
      </c>
    </row>
    <row r="180" spans="1:1">
      <c r="A180">
        <v>174</v>
      </c>
    </row>
    <row r="181" spans="1:1">
      <c r="A181">
        <v>175</v>
      </c>
    </row>
    <row r="182" spans="1:1">
      <c r="A182">
        <v>176</v>
      </c>
    </row>
    <row r="183" spans="1:1">
      <c r="A183">
        <v>177</v>
      </c>
    </row>
    <row r="184" spans="1:1">
      <c r="A184">
        <v>178</v>
      </c>
    </row>
    <row r="185" spans="1:1">
      <c r="A185">
        <v>179</v>
      </c>
    </row>
    <row r="186" spans="1:1">
      <c r="A186">
        <v>180</v>
      </c>
    </row>
    <row r="187" spans="1:1">
      <c r="A187">
        <v>181</v>
      </c>
    </row>
    <row r="188" spans="1:1">
      <c r="A188">
        <v>182</v>
      </c>
    </row>
    <row r="189" spans="1:1">
      <c r="A189">
        <v>183</v>
      </c>
    </row>
    <row r="190" spans="1:1">
      <c r="A190">
        <v>184</v>
      </c>
    </row>
    <row r="191" spans="1:1">
      <c r="A191">
        <v>185</v>
      </c>
    </row>
    <row r="192" spans="1:1">
      <c r="A192">
        <v>186</v>
      </c>
    </row>
    <row r="193" spans="1:1">
      <c r="A193">
        <v>187</v>
      </c>
    </row>
    <row r="194" spans="1:1">
      <c r="A194">
        <v>188</v>
      </c>
    </row>
    <row r="195" spans="1:1">
      <c r="A195">
        <v>189</v>
      </c>
    </row>
    <row r="196" spans="1:1">
      <c r="A196">
        <v>190</v>
      </c>
    </row>
    <row r="197" spans="1:1">
      <c r="A197">
        <v>191</v>
      </c>
    </row>
    <row r="198" spans="1:1">
      <c r="A198">
        <v>192</v>
      </c>
    </row>
    <row r="199" spans="1:1">
      <c r="A199">
        <v>193</v>
      </c>
    </row>
    <row r="200" spans="1:1">
      <c r="A200">
        <v>194</v>
      </c>
    </row>
    <row r="201" spans="1:1">
      <c r="A201">
        <v>195</v>
      </c>
    </row>
    <row r="202" spans="1:1">
      <c r="A202">
        <v>196</v>
      </c>
    </row>
    <row r="203" spans="1:1">
      <c r="A203">
        <v>197</v>
      </c>
    </row>
    <row r="204" spans="1:1">
      <c r="A204">
        <v>198</v>
      </c>
    </row>
    <row r="205" spans="1:1">
      <c r="A205">
        <v>199</v>
      </c>
    </row>
    <row r="206" spans="1:1">
      <c r="A206">
        <v>200</v>
      </c>
    </row>
    <row r="207" spans="1:1">
      <c r="A207">
        <v>201</v>
      </c>
    </row>
    <row r="208" spans="1:1">
      <c r="A208">
        <v>202</v>
      </c>
    </row>
    <row r="209" spans="1:1">
      <c r="A209">
        <v>203</v>
      </c>
    </row>
    <row r="210" spans="1:1">
      <c r="A210">
        <v>204</v>
      </c>
    </row>
    <row r="211" spans="1:1">
      <c r="A211">
        <v>205</v>
      </c>
    </row>
    <row r="212" spans="1:1">
      <c r="A212">
        <v>206</v>
      </c>
    </row>
    <row r="213" spans="1:1">
      <c r="A213">
        <v>207</v>
      </c>
    </row>
    <row r="214" spans="1:1">
      <c r="A214">
        <v>208</v>
      </c>
    </row>
    <row r="215" spans="1:1">
      <c r="A215">
        <v>209</v>
      </c>
    </row>
    <row r="216" spans="1:1">
      <c r="A216">
        <v>210</v>
      </c>
    </row>
    <row r="217" spans="1:1">
      <c r="A217">
        <v>211</v>
      </c>
    </row>
    <row r="218" spans="1:1">
      <c r="A218">
        <v>212</v>
      </c>
    </row>
    <row r="219" spans="1:1">
      <c r="A219">
        <v>213</v>
      </c>
    </row>
    <row r="220" spans="1:1">
      <c r="A220">
        <v>214</v>
      </c>
    </row>
    <row r="221" spans="1:1">
      <c r="A221">
        <v>215</v>
      </c>
    </row>
    <row r="222" spans="1:1">
      <c r="A222">
        <v>216</v>
      </c>
    </row>
    <row r="223" spans="1:1">
      <c r="A223">
        <v>217</v>
      </c>
    </row>
    <row r="224" spans="1:1">
      <c r="A224">
        <v>218</v>
      </c>
    </row>
    <row r="225" spans="1:1">
      <c r="A225">
        <v>219</v>
      </c>
    </row>
    <row r="226" spans="1:1">
      <c r="A226">
        <v>220</v>
      </c>
    </row>
    <row r="227" spans="1:1">
      <c r="A227">
        <v>221</v>
      </c>
    </row>
    <row r="228" spans="1:1">
      <c r="A228">
        <v>222</v>
      </c>
    </row>
    <row r="229" spans="1:1">
      <c r="A229">
        <v>223</v>
      </c>
    </row>
    <row r="230" spans="1:1">
      <c r="A230">
        <v>224</v>
      </c>
    </row>
    <row r="231" spans="1:1">
      <c r="A231">
        <v>225</v>
      </c>
    </row>
    <row r="232" spans="1:1">
      <c r="A232">
        <v>226</v>
      </c>
    </row>
    <row r="233" spans="1:1">
      <c r="A233">
        <v>227</v>
      </c>
    </row>
    <row r="234" spans="1:1">
      <c r="A234">
        <v>228</v>
      </c>
    </row>
    <row r="235" spans="1:1">
      <c r="A235">
        <v>229</v>
      </c>
    </row>
    <row r="236" spans="1:1">
      <c r="A236">
        <v>230</v>
      </c>
    </row>
    <row r="237" spans="1:1">
      <c r="A237">
        <v>231</v>
      </c>
    </row>
    <row r="238" spans="1:1">
      <c r="A238">
        <v>232</v>
      </c>
    </row>
    <row r="239" spans="1:1">
      <c r="A239">
        <v>233</v>
      </c>
    </row>
    <row r="240" spans="1:1">
      <c r="A240">
        <v>234</v>
      </c>
    </row>
    <row r="241" spans="1:1">
      <c r="A241">
        <v>235</v>
      </c>
    </row>
    <row r="242" spans="1:1">
      <c r="A242">
        <v>236</v>
      </c>
    </row>
    <row r="243" spans="1:1">
      <c r="A243">
        <v>237</v>
      </c>
    </row>
    <row r="244" spans="1:1">
      <c r="A244">
        <v>238</v>
      </c>
    </row>
    <row r="245" spans="1:1">
      <c r="A245">
        <v>239</v>
      </c>
    </row>
    <row r="246" spans="1:1">
      <c r="A246">
        <v>240</v>
      </c>
    </row>
    <row r="247" spans="1:1">
      <c r="A247">
        <v>241</v>
      </c>
    </row>
    <row r="248" spans="1:1">
      <c r="A248">
        <v>242</v>
      </c>
    </row>
    <row r="249" spans="1:1">
      <c r="A249">
        <v>243</v>
      </c>
    </row>
    <row r="250" spans="1:1">
      <c r="A250">
        <v>244</v>
      </c>
    </row>
    <row r="251" spans="1:1">
      <c r="A251">
        <v>245</v>
      </c>
    </row>
    <row r="252" spans="1:1">
      <c r="A252">
        <v>246</v>
      </c>
    </row>
    <row r="253" spans="1:1">
      <c r="A253">
        <v>247</v>
      </c>
    </row>
    <row r="254" spans="1:1">
      <c r="A254">
        <v>248</v>
      </c>
    </row>
    <row r="255" spans="1:1">
      <c r="A255">
        <v>249</v>
      </c>
    </row>
    <row r="256" spans="1:1">
      <c r="A256">
        <v>250</v>
      </c>
    </row>
    <row r="257" spans="1:1">
      <c r="A257">
        <v>251</v>
      </c>
    </row>
    <row r="258" spans="1:1">
      <c r="A258">
        <v>252</v>
      </c>
    </row>
    <row r="259" spans="1:1">
      <c r="A259">
        <v>253</v>
      </c>
    </row>
    <row r="260" spans="1:1">
      <c r="A260">
        <v>254</v>
      </c>
    </row>
    <row r="261" spans="1:1">
      <c r="A261">
        <v>255</v>
      </c>
    </row>
    <row r="262" spans="1:1">
      <c r="A262">
        <v>256</v>
      </c>
    </row>
    <row r="263" spans="1:1">
      <c r="A263">
        <v>257</v>
      </c>
    </row>
    <row r="264" spans="1:1">
      <c r="A264">
        <v>258</v>
      </c>
    </row>
    <row r="265" spans="1:1">
      <c r="A265">
        <v>259</v>
      </c>
    </row>
    <row r="266" spans="1:1">
      <c r="A266">
        <v>260</v>
      </c>
    </row>
    <row r="267" spans="1:1">
      <c r="A267">
        <v>261</v>
      </c>
    </row>
    <row r="268" spans="1:1">
      <c r="A268">
        <v>262</v>
      </c>
    </row>
    <row r="269" spans="1:1">
      <c r="A269">
        <v>263</v>
      </c>
    </row>
    <row r="270" spans="1:1">
      <c r="A270">
        <v>264</v>
      </c>
    </row>
    <row r="271" spans="1:1">
      <c r="A271">
        <v>265</v>
      </c>
    </row>
    <row r="272" spans="1:1">
      <c r="A272">
        <v>266</v>
      </c>
    </row>
    <row r="273" spans="1:1">
      <c r="A273">
        <v>267</v>
      </c>
    </row>
    <row r="274" spans="1:1">
      <c r="A274">
        <v>268</v>
      </c>
    </row>
    <row r="275" spans="1:1">
      <c r="A275">
        <v>269</v>
      </c>
    </row>
    <row r="276" spans="1:1">
      <c r="A276">
        <v>270</v>
      </c>
    </row>
    <row r="277" spans="1:1">
      <c r="A277">
        <v>271</v>
      </c>
    </row>
    <row r="278" spans="1:1">
      <c r="A278">
        <v>272</v>
      </c>
    </row>
    <row r="279" spans="1:1">
      <c r="A279">
        <v>273</v>
      </c>
    </row>
    <row r="280" spans="1:1">
      <c r="A280">
        <v>274</v>
      </c>
    </row>
    <row r="281" spans="1:1">
      <c r="A281">
        <v>275</v>
      </c>
    </row>
    <row r="282" spans="1:1">
      <c r="A282">
        <v>276</v>
      </c>
    </row>
    <row r="283" spans="1:1">
      <c r="A283">
        <v>277</v>
      </c>
    </row>
    <row r="284" spans="1:1">
      <c r="A284">
        <v>278</v>
      </c>
    </row>
    <row r="285" spans="1:1">
      <c r="A285">
        <v>279</v>
      </c>
    </row>
    <row r="286" spans="1:1">
      <c r="A286">
        <v>280</v>
      </c>
    </row>
    <row r="287" spans="1:1">
      <c r="A287">
        <v>281</v>
      </c>
    </row>
    <row r="288" spans="1:1">
      <c r="A288">
        <v>282</v>
      </c>
    </row>
    <row r="289" spans="1:1">
      <c r="A289">
        <v>283</v>
      </c>
    </row>
    <row r="290" spans="1:1">
      <c r="A290">
        <v>284</v>
      </c>
    </row>
    <row r="291" spans="1:1">
      <c r="A291">
        <v>285</v>
      </c>
    </row>
    <row r="292" spans="1:1">
      <c r="A292">
        <v>286</v>
      </c>
    </row>
    <row r="293" spans="1:1">
      <c r="A293">
        <v>287</v>
      </c>
    </row>
    <row r="294" spans="1:1">
      <c r="A294">
        <v>288</v>
      </c>
    </row>
    <row r="295" spans="1:1">
      <c r="A295">
        <v>289</v>
      </c>
    </row>
    <row r="296" spans="1:1">
      <c r="A296">
        <v>290</v>
      </c>
    </row>
    <row r="297" spans="1:1">
      <c r="A297">
        <v>291</v>
      </c>
    </row>
    <row r="298" spans="1:1">
      <c r="A298">
        <v>292</v>
      </c>
    </row>
    <row r="299" spans="1:1">
      <c r="A299">
        <v>293</v>
      </c>
    </row>
    <row r="300" spans="1:1">
      <c r="A300">
        <v>294</v>
      </c>
    </row>
    <row r="301" spans="1:1">
      <c r="A301">
        <v>295</v>
      </c>
    </row>
    <row r="302" spans="1:1">
      <c r="A302">
        <v>296</v>
      </c>
    </row>
    <row r="303" spans="1:1">
      <c r="A303">
        <v>297</v>
      </c>
    </row>
    <row r="304" spans="1:1">
      <c r="A304">
        <v>298</v>
      </c>
    </row>
    <row r="305" spans="1:1">
      <c r="A305">
        <v>299</v>
      </c>
    </row>
    <row r="306" spans="1:1">
      <c r="A306">
        <v>300</v>
      </c>
    </row>
    <row r="307" spans="1:1">
      <c r="A307">
        <v>301</v>
      </c>
    </row>
    <row r="308" spans="1:1">
      <c r="A308">
        <v>302</v>
      </c>
    </row>
    <row r="309" spans="1:1">
      <c r="A309">
        <v>303</v>
      </c>
    </row>
    <row r="310" spans="1:1">
      <c r="A310">
        <v>304</v>
      </c>
    </row>
    <row r="311" spans="1:1">
      <c r="A311">
        <v>305</v>
      </c>
    </row>
    <row r="312" spans="1:1">
      <c r="A312">
        <v>306</v>
      </c>
    </row>
    <row r="313" spans="1:1">
      <c r="A313">
        <v>307</v>
      </c>
    </row>
    <row r="314" spans="1:1">
      <c r="A314">
        <v>308</v>
      </c>
    </row>
    <row r="315" spans="1:1">
      <c r="A315">
        <v>309</v>
      </c>
    </row>
    <row r="316" spans="1:1">
      <c r="A316">
        <v>310</v>
      </c>
    </row>
    <row r="317" spans="1:1">
      <c r="A317">
        <v>311</v>
      </c>
    </row>
    <row r="318" spans="1:1">
      <c r="A318">
        <v>312</v>
      </c>
    </row>
    <row r="319" spans="1:1">
      <c r="A319">
        <v>313</v>
      </c>
    </row>
    <row r="320" spans="1:1">
      <c r="A320">
        <v>314</v>
      </c>
    </row>
    <row r="321" spans="1:1">
      <c r="A321">
        <v>315</v>
      </c>
    </row>
    <row r="322" spans="1:1">
      <c r="A322">
        <v>316</v>
      </c>
    </row>
    <row r="323" spans="1:1">
      <c r="A323">
        <v>317</v>
      </c>
    </row>
    <row r="324" spans="1:1">
      <c r="A324">
        <v>318</v>
      </c>
    </row>
    <row r="325" spans="1:1">
      <c r="A325">
        <v>319</v>
      </c>
    </row>
    <row r="326" spans="1:1">
      <c r="A326">
        <v>320</v>
      </c>
    </row>
    <row r="327" spans="1:1">
      <c r="A327">
        <v>321</v>
      </c>
    </row>
    <row r="328" spans="1:1">
      <c r="A328">
        <v>322</v>
      </c>
    </row>
    <row r="329" spans="1:1">
      <c r="A329">
        <v>323</v>
      </c>
    </row>
    <row r="330" spans="1:1">
      <c r="A330">
        <v>324</v>
      </c>
    </row>
    <row r="331" spans="1:1">
      <c r="A331">
        <v>325</v>
      </c>
    </row>
    <row r="332" spans="1:1">
      <c r="A332">
        <v>326</v>
      </c>
    </row>
    <row r="333" spans="1:1">
      <c r="A333">
        <v>327</v>
      </c>
    </row>
    <row r="334" spans="1:1">
      <c r="A334">
        <v>328</v>
      </c>
    </row>
    <row r="335" spans="1:1">
      <c r="A335">
        <v>329</v>
      </c>
    </row>
    <row r="336" spans="1:1">
      <c r="A336">
        <v>330</v>
      </c>
    </row>
    <row r="337" spans="1:1">
      <c r="A337">
        <v>331</v>
      </c>
    </row>
    <row r="338" spans="1:1">
      <c r="A338">
        <v>332</v>
      </c>
    </row>
    <row r="339" spans="1:1">
      <c r="A339">
        <v>333</v>
      </c>
    </row>
    <row r="340" spans="1:1">
      <c r="A340">
        <v>334</v>
      </c>
    </row>
    <row r="341" spans="1:1">
      <c r="A341">
        <v>335</v>
      </c>
    </row>
    <row r="342" spans="1:1">
      <c r="A342">
        <v>336</v>
      </c>
    </row>
    <row r="343" spans="1:1">
      <c r="A343">
        <v>337</v>
      </c>
    </row>
    <row r="344" spans="1:1">
      <c r="A344">
        <v>338</v>
      </c>
    </row>
    <row r="345" spans="1:1">
      <c r="A345">
        <v>339</v>
      </c>
    </row>
    <row r="346" spans="1:1">
      <c r="A346">
        <v>340</v>
      </c>
    </row>
    <row r="347" spans="1:1">
      <c r="A347">
        <v>341</v>
      </c>
    </row>
    <row r="348" spans="1:1">
      <c r="A348">
        <v>342</v>
      </c>
    </row>
    <row r="349" spans="1:1">
      <c r="A349">
        <v>343</v>
      </c>
    </row>
    <row r="350" spans="1:1">
      <c r="A350">
        <v>344</v>
      </c>
    </row>
    <row r="351" spans="1:1">
      <c r="A351">
        <v>345</v>
      </c>
    </row>
    <row r="352" spans="1:1">
      <c r="A352">
        <v>346</v>
      </c>
    </row>
    <row r="353" spans="1:1">
      <c r="A353">
        <v>347</v>
      </c>
    </row>
    <row r="354" spans="1:1">
      <c r="A354">
        <v>348</v>
      </c>
    </row>
    <row r="355" spans="1:1">
      <c r="A355">
        <v>349</v>
      </c>
    </row>
    <row r="356" spans="1:1">
      <c r="A356">
        <v>350</v>
      </c>
    </row>
    <row r="357" spans="1:1">
      <c r="A357">
        <v>351</v>
      </c>
    </row>
    <row r="358" spans="1:1">
      <c r="A358">
        <v>352</v>
      </c>
    </row>
    <row r="359" spans="1:1">
      <c r="A359">
        <v>353</v>
      </c>
    </row>
    <row r="360" spans="1:1">
      <c r="A360">
        <v>354</v>
      </c>
    </row>
    <row r="361" spans="1:1">
      <c r="A361">
        <v>355</v>
      </c>
    </row>
    <row r="362" spans="1:1">
      <c r="A362">
        <v>356</v>
      </c>
    </row>
    <row r="363" spans="1:1">
      <c r="A363">
        <v>357</v>
      </c>
    </row>
    <row r="364" spans="1:1">
      <c r="A364">
        <v>358</v>
      </c>
    </row>
    <row r="365" spans="1:1">
      <c r="A365">
        <v>359</v>
      </c>
    </row>
    <row r="366" spans="1:1">
      <c r="A366">
        <v>360</v>
      </c>
    </row>
    <row r="367" spans="1:1">
      <c r="A367">
        <v>361</v>
      </c>
    </row>
    <row r="368" spans="1:1">
      <c r="A368">
        <v>362</v>
      </c>
    </row>
    <row r="369" spans="1:1">
      <c r="A369">
        <v>363</v>
      </c>
    </row>
    <row r="370" spans="1:1">
      <c r="A370">
        <v>364</v>
      </c>
    </row>
    <row r="371" spans="1:1">
      <c r="A371">
        <v>365</v>
      </c>
    </row>
    <row r="372" spans="1:1">
      <c r="A372">
        <v>366</v>
      </c>
    </row>
    <row r="373" spans="1:1">
      <c r="A373">
        <v>367</v>
      </c>
    </row>
    <row r="374" spans="1:1">
      <c r="A374">
        <v>368</v>
      </c>
    </row>
    <row r="375" spans="1:1">
      <c r="A375">
        <v>369</v>
      </c>
    </row>
    <row r="376" spans="1:1">
      <c r="A376">
        <v>370</v>
      </c>
    </row>
    <row r="377" spans="1:1">
      <c r="A377">
        <v>371</v>
      </c>
    </row>
    <row r="378" spans="1:1">
      <c r="A378">
        <v>372</v>
      </c>
    </row>
    <row r="379" spans="1:1">
      <c r="A379">
        <v>373</v>
      </c>
    </row>
    <row r="380" spans="1:1">
      <c r="A380">
        <v>374</v>
      </c>
    </row>
    <row r="381" spans="1:1">
      <c r="A381">
        <v>375</v>
      </c>
    </row>
    <row r="382" spans="1:1">
      <c r="A382">
        <v>376</v>
      </c>
    </row>
    <row r="383" spans="1:1">
      <c r="A383">
        <v>377</v>
      </c>
    </row>
    <row r="384" spans="1:1">
      <c r="A384">
        <v>378</v>
      </c>
    </row>
    <row r="385" spans="1:1">
      <c r="A385">
        <v>379</v>
      </c>
    </row>
    <row r="386" spans="1:1">
      <c r="A386">
        <v>380</v>
      </c>
    </row>
    <row r="387" spans="1:1">
      <c r="A387">
        <v>381</v>
      </c>
    </row>
    <row r="388" spans="1:1">
      <c r="A388">
        <v>382</v>
      </c>
    </row>
    <row r="389" spans="1:1">
      <c r="A389">
        <v>383</v>
      </c>
    </row>
    <row r="390" spans="1:1">
      <c r="A390">
        <v>384</v>
      </c>
    </row>
    <row r="391" spans="1:1">
      <c r="A391">
        <v>385</v>
      </c>
    </row>
    <row r="392" spans="1:1">
      <c r="A392">
        <v>386</v>
      </c>
    </row>
    <row r="393" spans="1:1">
      <c r="A393">
        <v>387</v>
      </c>
    </row>
    <row r="394" spans="1:1">
      <c r="A394">
        <v>388</v>
      </c>
    </row>
    <row r="395" spans="1:1">
      <c r="A395">
        <v>389</v>
      </c>
    </row>
    <row r="396" spans="1:1">
      <c r="A396">
        <v>390</v>
      </c>
    </row>
    <row r="397" spans="1:1">
      <c r="A397">
        <v>391</v>
      </c>
    </row>
    <row r="398" spans="1:1">
      <c r="A398">
        <v>392</v>
      </c>
    </row>
    <row r="399" spans="1:1">
      <c r="A399">
        <v>393</v>
      </c>
    </row>
    <row r="400" spans="1:1">
      <c r="A400">
        <v>394</v>
      </c>
    </row>
    <row r="401" spans="1:1">
      <c r="A401">
        <v>395</v>
      </c>
    </row>
    <row r="402" spans="1:1">
      <c r="A402">
        <v>396</v>
      </c>
    </row>
    <row r="403" spans="1:1">
      <c r="A403">
        <v>397</v>
      </c>
    </row>
    <row r="404" spans="1:1">
      <c r="A404">
        <v>398</v>
      </c>
    </row>
    <row r="405" spans="1:1">
      <c r="A405">
        <v>399</v>
      </c>
    </row>
    <row r="406" spans="1:1">
      <c r="A406">
        <v>400</v>
      </c>
    </row>
    <row r="407" spans="1:1">
      <c r="A407">
        <v>401</v>
      </c>
    </row>
    <row r="408" spans="1:1">
      <c r="A408">
        <v>402</v>
      </c>
    </row>
    <row r="409" spans="1:1">
      <c r="A409">
        <v>403</v>
      </c>
    </row>
    <row r="410" spans="1:1">
      <c r="A410">
        <v>404</v>
      </c>
    </row>
    <row r="411" spans="1:1">
      <c r="A411">
        <v>405</v>
      </c>
    </row>
    <row r="412" spans="1:1">
      <c r="A412">
        <v>406</v>
      </c>
    </row>
    <row r="413" spans="1:1">
      <c r="A413">
        <v>407</v>
      </c>
    </row>
    <row r="414" spans="1:1">
      <c r="A414">
        <v>408</v>
      </c>
    </row>
    <row r="415" spans="1:1">
      <c r="A415">
        <v>409</v>
      </c>
    </row>
    <row r="416" spans="1:1">
      <c r="A416">
        <v>410</v>
      </c>
    </row>
    <row r="417" spans="1:1">
      <c r="A417">
        <v>411</v>
      </c>
    </row>
    <row r="418" spans="1:1">
      <c r="A418">
        <v>412</v>
      </c>
    </row>
    <row r="419" spans="1:1">
      <c r="A419">
        <v>413</v>
      </c>
    </row>
    <row r="420" spans="1:1">
      <c r="A420">
        <v>414</v>
      </c>
    </row>
    <row r="421" spans="1:1">
      <c r="A421">
        <v>415</v>
      </c>
    </row>
    <row r="422" spans="1:1">
      <c r="A422">
        <v>416</v>
      </c>
    </row>
    <row r="423" spans="1:1">
      <c r="A423">
        <v>417</v>
      </c>
    </row>
    <row r="424" spans="1:1">
      <c r="A424">
        <v>418</v>
      </c>
    </row>
    <row r="425" spans="1:1">
      <c r="A425">
        <v>419</v>
      </c>
    </row>
    <row r="426" spans="1:1">
      <c r="A426">
        <v>420</v>
      </c>
    </row>
    <row r="427" spans="1:1">
      <c r="A427">
        <v>421</v>
      </c>
    </row>
    <row r="428" spans="1:1">
      <c r="A428">
        <v>422</v>
      </c>
    </row>
    <row r="429" spans="1:1">
      <c r="A429">
        <v>423</v>
      </c>
    </row>
    <row r="430" spans="1:1">
      <c r="A430">
        <v>424</v>
      </c>
    </row>
    <row r="431" spans="1:1">
      <c r="A431">
        <v>425</v>
      </c>
    </row>
    <row r="432" spans="1:1">
      <c r="A432">
        <v>426</v>
      </c>
    </row>
    <row r="433" spans="1:1">
      <c r="A433">
        <v>427</v>
      </c>
    </row>
    <row r="434" spans="1:1">
      <c r="A434">
        <v>428</v>
      </c>
    </row>
    <row r="435" spans="1:1">
      <c r="A435">
        <v>429</v>
      </c>
    </row>
    <row r="436" spans="1:1">
      <c r="A436">
        <v>430</v>
      </c>
    </row>
    <row r="437" spans="1:1">
      <c r="A437">
        <v>431</v>
      </c>
    </row>
    <row r="438" spans="1:1">
      <c r="A438">
        <v>432</v>
      </c>
    </row>
    <row r="439" spans="1:1">
      <c r="A439">
        <v>433</v>
      </c>
    </row>
    <row r="440" spans="1:1">
      <c r="A440">
        <v>434</v>
      </c>
    </row>
    <row r="441" spans="1:1">
      <c r="A441">
        <v>435</v>
      </c>
    </row>
    <row r="442" spans="1:1">
      <c r="A442">
        <v>436</v>
      </c>
    </row>
    <row r="443" spans="1:1">
      <c r="A443">
        <v>437</v>
      </c>
    </row>
    <row r="444" spans="1:1">
      <c r="A444">
        <v>438</v>
      </c>
    </row>
    <row r="445" spans="1:1">
      <c r="A445">
        <v>439</v>
      </c>
    </row>
    <row r="446" spans="1:1">
      <c r="A446">
        <v>440</v>
      </c>
    </row>
    <row r="447" spans="1:1">
      <c r="A447">
        <v>441</v>
      </c>
    </row>
    <row r="448" spans="1:1">
      <c r="A448">
        <v>442</v>
      </c>
    </row>
    <row r="449" spans="1:1">
      <c r="A449">
        <v>443</v>
      </c>
    </row>
    <row r="450" spans="1:1">
      <c r="A450">
        <v>444</v>
      </c>
    </row>
    <row r="451" spans="1:1">
      <c r="A451">
        <v>445</v>
      </c>
    </row>
    <row r="452" spans="1:1">
      <c r="A452">
        <v>446</v>
      </c>
    </row>
    <row r="453" spans="1:1">
      <c r="A453">
        <v>447</v>
      </c>
    </row>
    <row r="454" spans="1:1">
      <c r="A454">
        <v>448</v>
      </c>
    </row>
    <row r="455" spans="1:1">
      <c r="A455">
        <v>449</v>
      </c>
    </row>
    <row r="456" spans="1:1">
      <c r="A456">
        <v>450</v>
      </c>
    </row>
    <row r="457" spans="1:1">
      <c r="A457">
        <v>451</v>
      </c>
    </row>
    <row r="458" spans="1:1">
      <c r="A458">
        <v>452</v>
      </c>
    </row>
    <row r="459" spans="1:1">
      <c r="A459">
        <v>453</v>
      </c>
    </row>
    <row r="460" spans="1:1">
      <c r="A460">
        <v>454</v>
      </c>
    </row>
    <row r="461" spans="1:1">
      <c r="A461">
        <v>455</v>
      </c>
    </row>
    <row r="462" spans="1:1">
      <c r="A462">
        <v>456</v>
      </c>
    </row>
    <row r="463" spans="1:1">
      <c r="A463">
        <v>457</v>
      </c>
    </row>
    <row r="464" spans="1:1">
      <c r="A464">
        <v>458</v>
      </c>
    </row>
    <row r="465" spans="1:1">
      <c r="A465">
        <v>459</v>
      </c>
    </row>
    <row r="466" spans="1:1">
      <c r="A466">
        <v>460</v>
      </c>
    </row>
    <row r="467" spans="1:1">
      <c r="A467">
        <v>461</v>
      </c>
    </row>
    <row r="468" spans="1:1">
      <c r="A468">
        <v>462</v>
      </c>
    </row>
    <row r="469" spans="1:1">
      <c r="A469">
        <v>463</v>
      </c>
    </row>
    <row r="470" spans="1:1">
      <c r="A470">
        <v>464</v>
      </c>
    </row>
    <row r="471" spans="1:1">
      <c r="A471">
        <v>465</v>
      </c>
    </row>
    <row r="472" spans="1:1">
      <c r="A472">
        <v>466</v>
      </c>
    </row>
    <row r="473" spans="1:1">
      <c r="A473">
        <v>467</v>
      </c>
    </row>
    <row r="474" spans="1:1">
      <c r="A474">
        <v>468</v>
      </c>
    </row>
    <row r="475" spans="1:1">
      <c r="A475">
        <v>469</v>
      </c>
    </row>
    <row r="476" spans="1:1">
      <c r="A476">
        <v>470</v>
      </c>
    </row>
    <row r="477" spans="1:1">
      <c r="A477">
        <v>471</v>
      </c>
    </row>
    <row r="478" spans="1:1">
      <c r="A478">
        <v>472</v>
      </c>
    </row>
    <row r="479" spans="1:1">
      <c r="A479">
        <v>473</v>
      </c>
    </row>
    <row r="480" spans="1:1">
      <c r="A480">
        <v>474</v>
      </c>
    </row>
    <row r="481" spans="1:1">
      <c r="A481">
        <v>475</v>
      </c>
    </row>
    <row r="482" spans="1:1">
      <c r="A482">
        <v>476</v>
      </c>
    </row>
    <row r="483" spans="1:1">
      <c r="A483">
        <v>477</v>
      </c>
    </row>
    <row r="484" spans="1:1">
      <c r="A484">
        <v>478</v>
      </c>
    </row>
    <row r="485" spans="1:1">
      <c r="A485">
        <v>479</v>
      </c>
    </row>
    <row r="486" spans="1:1">
      <c r="A486">
        <v>480</v>
      </c>
    </row>
    <row r="487" spans="1:1">
      <c r="A487">
        <v>481</v>
      </c>
    </row>
    <row r="488" spans="1:1">
      <c r="A488">
        <v>482</v>
      </c>
    </row>
    <row r="489" spans="1:1">
      <c r="A489">
        <v>483</v>
      </c>
    </row>
    <row r="490" spans="1:1">
      <c r="A490">
        <v>484</v>
      </c>
    </row>
    <row r="491" spans="1:1">
      <c r="A491">
        <v>485</v>
      </c>
    </row>
    <row r="492" spans="1:1">
      <c r="A492">
        <v>486</v>
      </c>
    </row>
    <row r="493" spans="1:1">
      <c r="A493">
        <v>487</v>
      </c>
    </row>
    <row r="494" spans="1:1">
      <c r="A494">
        <v>488</v>
      </c>
    </row>
    <row r="495" spans="1:1">
      <c r="A495">
        <v>489</v>
      </c>
    </row>
    <row r="496" spans="1:1">
      <c r="A496">
        <v>490</v>
      </c>
    </row>
    <row r="497" spans="1:1">
      <c r="A497">
        <v>491</v>
      </c>
    </row>
    <row r="498" spans="1:1">
      <c r="A498">
        <v>492</v>
      </c>
    </row>
    <row r="499" spans="1:1">
      <c r="A499">
        <v>493</v>
      </c>
    </row>
    <row r="500" spans="1:1">
      <c r="A500">
        <v>494</v>
      </c>
    </row>
    <row r="501" spans="1:1">
      <c r="A501">
        <v>495</v>
      </c>
    </row>
    <row r="502" spans="1:1">
      <c r="A502">
        <v>496</v>
      </c>
    </row>
    <row r="503" spans="1:1">
      <c r="A503">
        <v>497</v>
      </c>
    </row>
    <row r="504" spans="1:1">
      <c r="A504">
        <v>498</v>
      </c>
    </row>
    <row r="505" spans="1:1">
      <c r="A505">
        <v>499</v>
      </c>
    </row>
    <row r="506" spans="1:1">
      <c r="A506">
        <v>500</v>
      </c>
    </row>
    <row r="507" spans="1:1">
      <c r="A507">
        <v>501</v>
      </c>
    </row>
    <row r="508" spans="1:1">
      <c r="A508">
        <v>502</v>
      </c>
    </row>
    <row r="509" spans="1:1">
      <c r="A509">
        <v>503</v>
      </c>
    </row>
    <row r="510" spans="1:1">
      <c r="A510">
        <v>504</v>
      </c>
    </row>
    <row r="511" spans="1:1">
      <c r="A511">
        <v>505</v>
      </c>
    </row>
    <row r="512" spans="1:1">
      <c r="A512">
        <v>506</v>
      </c>
    </row>
    <row r="513" spans="1:1">
      <c r="A513">
        <v>507</v>
      </c>
    </row>
    <row r="514" spans="1:1">
      <c r="A514">
        <v>508</v>
      </c>
    </row>
    <row r="515" spans="1:1">
      <c r="A515">
        <v>509</v>
      </c>
    </row>
    <row r="516" spans="1:1">
      <c r="A516">
        <v>510</v>
      </c>
    </row>
    <row r="517" spans="1:1">
      <c r="A517">
        <v>511</v>
      </c>
    </row>
    <row r="518" spans="1:1">
      <c r="A518">
        <v>512</v>
      </c>
    </row>
    <row r="519" spans="1:1">
      <c r="A519">
        <v>513</v>
      </c>
    </row>
    <row r="520" spans="1:1">
      <c r="A520">
        <v>514</v>
      </c>
    </row>
    <row r="521" spans="1:1">
      <c r="A521">
        <v>515</v>
      </c>
    </row>
    <row r="522" spans="1:1">
      <c r="A522">
        <v>516</v>
      </c>
    </row>
    <row r="523" spans="1:1">
      <c r="A523">
        <v>517</v>
      </c>
    </row>
    <row r="524" spans="1:1">
      <c r="A524">
        <v>518</v>
      </c>
    </row>
    <row r="525" spans="1:1">
      <c r="A525">
        <v>519</v>
      </c>
    </row>
    <row r="526" spans="1:1">
      <c r="A526">
        <v>520</v>
      </c>
    </row>
    <row r="527" spans="1:1">
      <c r="A527">
        <v>521</v>
      </c>
    </row>
    <row r="528" spans="1:1">
      <c r="A528">
        <v>522</v>
      </c>
    </row>
    <row r="529" spans="1:1">
      <c r="A529">
        <v>523</v>
      </c>
    </row>
    <row r="530" spans="1:1">
      <c r="A530">
        <v>524</v>
      </c>
    </row>
    <row r="531" spans="1:1">
      <c r="A531">
        <v>525</v>
      </c>
    </row>
    <row r="532" spans="1:1">
      <c r="A532">
        <v>526</v>
      </c>
    </row>
    <row r="533" spans="1:1">
      <c r="A533">
        <v>527</v>
      </c>
    </row>
    <row r="534" spans="1:1">
      <c r="A534">
        <v>528</v>
      </c>
    </row>
    <row r="535" spans="1:1">
      <c r="A535">
        <v>529</v>
      </c>
    </row>
    <row r="536" spans="1:1">
      <c r="A536">
        <v>530</v>
      </c>
    </row>
    <row r="537" spans="1:1">
      <c r="A537">
        <v>531</v>
      </c>
    </row>
    <row r="538" spans="1:1">
      <c r="A538">
        <v>532</v>
      </c>
    </row>
    <row r="539" spans="1:1">
      <c r="A539">
        <v>533</v>
      </c>
    </row>
    <row r="540" spans="1:1">
      <c r="A540">
        <v>534</v>
      </c>
    </row>
    <row r="541" spans="1:1">
      <c r="A541">
        <v>535</v>
      </c>
    </row>
    <row r="542" spans="1:1">
      <c r="A542">
        <v>536</v>
      </c>
    </row>
    <row r="543" spans="1:1">
      <c r="A543">
        <v>537</v>
      </c>
    </row>
    <row r="544" spans="1:1">
      <c r="A544">
        <v>538</v>
      </c>
    </row>
    <row r="545" spans="1:1">
      <c r="A545">
        <v>539</v>
      </c>
    </row>
    <row r="546" spans="1:1">
      <c r="A546">
        <v>540</v>
      </c>
    </row>
    <row r="547" spans="1:1">
      <c r="A547">
        <v>541</v>
      </c>
    </row>
    <row r="548" spans="1:1">
      <c r="A548">
        <v>542</v>
      </c>
    </row>
    <row r="549" spans="1:1">
      <c r="A549">
        <v>543</v>
      </c>
    </row>
    <row r="550" spans="1:1">
      <c r="A550">
        <v>544</v>
      </c>
    </row>
    <row r="551" spans="1:1">
      <c r="A551">
        <v>545</v>
      </c>
    </row>
    <row r="552" spans="1:1">
      <c r="A552">
        <v>546</v>
      </c>
    </row>
    <row r="553" spans="1:1">
      <c r="A553">
        <v>547</v>
      </c>
    </row>
    <row r="554" spans="1:1">
      <c r="A554">
        <v>548</v>
      </c>
    </row>
    <row r="555" spans="1:1">
      <c r="A555">
        <v>549</v>
      </c>
    </row>
    <row r="556" spans="1:1">
      <c r="A556">
        <v>550</v>
      </c>
    </row>
    <row r="557" spans="1:1">
      <c r="A557">
        <v>551</v>
      </c>
    </row>
    <row r="558" spans="1:1">
      <c r="A558">
        <v>552</v>
      </c>
    </row>
    <row r="559" spans="1:1">
      <c r="A559">
        <v>553</v>
      </c>
    </row>
    <row r="560" spans="1:1">
      <c r="A560">
        <v>554</v>
      </c>
    </row>
    <row r="561" spans="1:1">
      <c r="A561">
        <v>555</v>
      </c>
    </row>
    <row r="562" spans="1:1">
      <c r="A562">
        <v>556</v>
      </c>
    </row>
    <row r="563" spans="1:1">
      <c r="A563">
        <v>557</v>
      </c>
    </row>
    <row r="564" spans="1:1">
      <c r="A564">
        <v>558</v>
      </c>
    </row>
    <row r="565" spans="1:1">
      <c r="A565">
        <v>559</v>
      </c>
    </row>
    <row r="566" spans="1:1">
      <c r="A566">
        <v>560</v>
      </c>
    </row>
    <row r="567" spans="1:1">
      <c r="A567">
        <v>561</v>
      </c>
    </row>
    <row r="568" spans="1:1">
      <c r="A568">
        <v>562</v>
      </c>
    </row>
    <row r="569" spans="1:1">
      <c r="A569">
        <v>563</v>
      </c>
    </row>
    <row r="570" spans="1:1">
      <c r="A570">
        <v>564</v>
      </c>
    </row>
    <row r="571" spans="1:1">
      <c r="A571">
        <v>565</v>
      </c>
    </row>
    <row r="572" spans="1:1">
      <c r="A572">
        <v>566</v>
      </c>
    </row>
    <row r="573" spans="1:1">
      <c r="A573">
        <v>567</v>
      </c>
    </row>
    <row r="574" spans="1:1">
      <c r="A574">
        <v>568</v>
      </c>
    </row>
    <row r="575" spans="1:1">
      <c r="A575">
        <v>569</v>
      </c>
    </row>
    <row r="576" spans="1:1">
      <c r="A576">
        <v>570</v>
      </c>
    </row>
    <row r="577" spans="1:1">
      <c r="A577">
        <v>571</v>
      </c>
    </row>
    <row r="578" spans="1:1">
      <c r="A578">
        <v>572</v>
      </c>
    </row>
    <row r="579" spans="1:1">
      <c r="A579">
        <v>573</v>
      </c>
    </row>
    <row r="580" spans="1:1">
      <c r="A580">
        <v>574</v>
      </c>
    </row>
    <row r="581" spans="1:1">
      <c r="A581">
        <v>575</v>
      </c>
    </row>
    <row r="582" spans="1:1">
      <c r="A582">
        <v>576</v>
      </c>
    </row>
    <row r="583" spans="1:1">
      <c r="A583">
        <v>577</v>
      </c>
    </row>
    <row r="584" spans="1:1">
      <c r="A584">
        <v>578</v>
      </c>
    </row>
    <row r="585" spans="1:1">
      <c r="A585">
        <v>579</v>
      </c>
    </row>
    <row r="586" spans="1:1">
      <c r="A586">
        <v>580</v>
      </c>
    </row>
    <row r="587" spans="1:1">
      <c r="A587">
        <v>581</v>
      </c>
    </row>
    <row r="588" spans="1:1">
      <c r="A588">
        <v>582</v>
      </c>
    </row>
    <row r="589" spans="1:1">
      <c r="A589">
        <v>583</v>
      </c>
    </row>
    <row r="590" spans="1:1">
      <c r="A590">
        <v>584</v>
      </c>
    </row>
    <row r="591" spans="1:1">
      <c r="A591">
        <v>585</v>
      </c>
    </row>
    <row r="592" spans="1:1">
      <c r="A592">
        <v>586</v>
      </c>
    </row>
    <row r="593" spans="1:1">
      <c r="A593">
        <v>587</v>
      </c>
    </row>
    <row r="594" spans="1:1">
      <c r="A594">
        <v>588</v>
      </c>
    </row>
    <row r="595" spans="1:1">
      <c r="A595">
        <v>589</v>
      </c>
    </row>
    <row r="596" spans="1:1">
      <c r="A596">
        <v>590</v>
      </c>
    </row>
    <row r="597" spans="1:1">
      <c r="A597">
        <v>591</v>
      </c>
    </row>
    <row r="598" spans="1:1">
      <c r="A598">
        <v>592</v>
      </c>
    </row>
    <row r="599" spans="1:1">
      <c r="A599">
        <v>593</v>
      </c>
    </row>
    <row r="600" spans="1:1">
      <c r="A600">
        <v>594</v>
      </c>
    </row>
  </sheetData>
  <autoFilter ref="A7:R600" xr:uid="{00000000-0001-0000-0100-000000000000}"/>
  <phoneticPr fontId="0" type="noConversion"/>
  <pageMargins left="0.78740157499999996" right="0.78740157499999996" top="0.984251969" bottom="0.984251969" header="0.4921259845" footer="0.4921259845"/>
  <pageSetup paperSize="9" orientation="portrait" r:id="rId1"/>
  <headerFooter alignWithMargins="0">
    <oddFooter>&amp;C&amp;1#&amp;"Arial"&amp;8&amp;KA6A6A6restricted</oddFooter>
  </headerFooter>
</worksheet>
</file>

<file path=docMetadata/LabelInfo.xml><?xml version="1.0" encoding="utf-8"?>
<clbl:labelList xmlns:clbl="http://schemas.microsoft.com/office/2020/mipLabelMetadata">
  <clbl:label id="{ded034ca-24b7-43db-aeb7-3325b59f2302}" enabled="1" method="Standard" siteId="{bb2da9be-ab20-443b-a93e-baf7506f743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32</vt:i4>
      </vt:variant>
    </vt:vector>
  </HeadingPairs>
  <TitlesOfParts>
    <vt:vector size="35" baseType="lpstr">
      <vt:lpstr>T.QM.013</vt:lpstr>
      <vt:lpstr>T.QM.013 Description</vt:lpstr>
      <vt:lpstr>Parameter</vt:lpstr>
      <vt:lpstr>DmbA</vt:lpstr>
      <vt:lpstr>T.QM.013!Print_Area</vt:lpstr>
      <vt:lpstr>'T.QM.013 Description'!Print_Area</vt:lpstr>
      <vt:lpstr>T.QM.013!Print_Titles</vt:lpstr>
      <vt:lpstr>'T.QM.013 Description'!Print_Titles</vt:lpstr>
      <vt:lpstr>Productgroup</vt:lpstr>
      <vt:lpstr>Sprache</vt:lpstr>
      <vt:lpstr>'T.QM.013 Description'!SRM_LAST_CHANGED_AT</vt:lpstr>
      <vt:lpstr>SRM_LAST_CHANGED_AT</vt:lpstr>
      <vt:lpstr>'T.QM.013 Description'!SRM_LOG_VERSION</vt:lpstr>
      <vt:lpstr>SRM_LOG_VERSION</vt:lpstr>
      <vt:lpstr>Translations</vt:lpstr>
      <vt:lpstr>'T.QM.013 Description'!ZIPM_BASELINE</vt:lpstr>
      <vt:lpstr>ZIPM_BASELINE</vt:lpstr>
      <vt:lpstr>'T.QM.013 Description'!ZIPM_BATMAT</vt:lpstr>
      <vt:lpstr>ZIPM_BATMAT</vt:lpstr>
      <vt:lpstr>'T.QM.013 Description'!ZIPM_CUSTGRP</vt:lpstr>
      <vt:lpstr>ZIPM_CUSTGRP</vt:lpstr>
      <vt:lpstr>'T.QM.013 Description'!ZIPM_DISNO</vt:lpstr>
      <vt:lpstr>ZIPM_DISNO</vt:lpstr>
      <vt:lpstr>'T.QM.013 Description'!ZIPM_DWSR</vt:lpstr>
      <vt:lpstr>ZIPM_DWSR</vt:lpstr>
      <vt:lpstr>'T.QM.013 Description'!ZIPM_ENGINE</vt:lpstr>
      <vt:lpstr>ZIPM_ENGINE</vt:lpstr>
      <vt:lpstr>'T.QM.013 Description'!ZIPM_GPIN</vt:lpstr>
      <vt:lpstr>ZIPM_GPIN</vt:lpstr>
      <vt:lpstr>'T.QM.013 Description'!ZIPM_PARTNAME</vt:lpstr>
      <vt:lpstr>ZIPM_PARTNAME</vt:lpstr>
      <vt:lpstr>'T.QM.013 Description'!ZIPM_PRODGRP</vt:lpstr>
      <vt:lpstr>ZIPM_PRODGRP</vt:lpstr>
      <vt:lpstr>'T.QM.013 Description'!ZIPM_PROJECT</vt:lpstr>
      <vt:lpstr>ZIPM_PROJECT</vt:lpstr>
    </vt:vector>
  </TitlesOfParts>
  <Company>Benteler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Odd Andre Seljeflot</dc:creator>
  <cp:lastModifiedBy>Minqi Guan</cp:lastModifiedBy>
  <cp:lastPrinted>2026-05-19T06:16:09Z</cp:lastPrinted>
  <dcterms:created xsi:type="dcterms:W3CDTF">2012-01-03T16:31:35Z</dcterms:created>
  <dcterms:modified xsi:type="dcterms:W3CDTF">2026-08-17T09:32:23Z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d034ca-24b7-43db-aeb7-3325b59f2302_Enabled">
    <vt:lpwstr>true</vt:lpwstr>
  </property>
  <property fmtid="{D5CDD505-2E9C-101B-9397-08002B2CF9AE}" pid="3" name="MSIP_Label_ded034ca-24b7-43db-aeb7-3325b59f2302_SetDate">
    <vt:lpwstr>2022-06-08T15:36:58Z</vt:lpwstr>
  </property>
  <property fmtid="{D5CDD505-2E9C-101B-9397-08002B2CF9AE}" pid="4" name="MSIP_Label_ded034ca-24b7-43db-aeb7-3325b59f2302_Method">
    <vt:lpwstr>Standard</vt:lpwstr>
  </property>
  <property fmtid="{D5CDD505-2E9C-101B-9397-08002B2CF9AE}" pid="5" name="MSIP_Label_ded034ca-24b7-43db-aeb7-3325b59f2302_Name">
    <vt:lpwstr>Restricted</vt:lpwstr>
  </property>
  <property fmtid="{D5CDD505-2E9C-101B-9397-08002B2CF9AE}" pid="6" name="MSIP_Label_ded034ca-24b7-43db-aeb7-3325b59f2302_SiteId">
    <vt:lpwstr>bb2da9be-ab20-443b-a93e-baf7506f7433</vt:lpwstr>
  </property>
  <property fmtid="{D5CDD505-2E9C-101B-9397-08002B2CF9AE}" pid="7" name="MSIP_Label_ded034ca-24b7-43db-aeb7-3325b59f2302_ActionId">
    <vt:lpwstr>3bd728f8-140d-4262-b1b0-d68155686b94</vt:lpwstr>
  </property>
  <property fmtid="{D5CDD505-2E9C-101B-9397-08002B2CF9AE}" pid="8" name="MSIP_Label_ded034ca-24b7-43db-aeb7-3325b59f2302_ContentBits">
    <vt:lpwstr>2</vt:lpwstr>
  </property>
</Properties>
</file>